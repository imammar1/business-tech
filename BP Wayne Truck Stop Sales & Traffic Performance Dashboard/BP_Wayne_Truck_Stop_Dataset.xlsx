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be\Desktop\"/>
    </mc:Choice>
  </mc:AlternateContent>
  <xr:revisionPtr revIDLastSave="0" documentId="13_ncr:1_{035E5CD9-BDD8-4936-95A6-5F8F1242D16E}" xr6:coauthVersionLast="47" xr6:coauthVersionMax="47" xr10:uidLastSave="{00000000-0000-0000-0000-000000000000}"/>
  <bookViews>
    <workbookView xWindow="5790" yWindow="1845" windowWidth="21660" windowHeight="12990" xr2:uid="{00000000-000D-0000-FFFF-FFFF00000000}"/>
  </bookViews>
  <sheets>
    <sheet name="Data" sheetId="1" r:id="rId1"/>
    <sheet name="Summary" sheetId="2" r:id="rId2"/>
    <sheet name="How to U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8" i="2"/>
  <c r="B7" i="2"/>
  <c r="B6" i="2"/>
  <c r="B5" i="2"/>
  <c r="I481" i="1"/>
  <c r="J481" i="1" s="1"/>
  <c r="J480" i="1"/>
  <c r="I480" i="1"/>
  <c r="I479" i="1"/>
  <c r="J479" i="1" s="1"/>
  <c r="I478" i="1"/>
  <c r="J478" i="1" s="1"/>
  <c r="I477" i="1"/>
  <c r="J477" i="1" s="1"/>
  <c r="I476" i="1"/>
  <c r="J476" i="1" s="1"/>
  <c r="I475" i="1"/>
  <c r="J475" i="1" s="1"/>
  <c r="I474" i="1"/>
  <c r="J474" i="1" s="1"/>
  <c r="I473" i="1"/>
  <c r="J473" i="1" s="1"/>
  <c r="J472" i="1"/>
  <c r="I472" i="1"/>
  <c r="I471" i="1"/>
  <c r="J471" i="1" s="1"/>
  <c r="I470" i="1"/>
  <c r="J470" i="1" s="1"/>
  <c r="I469" i="1"/>
  <c r="J469" i="1" s="1"/>
  <c r="I468" i="1"/>
  <c r="J468" i="1" s="1"/>
  <c r="I467" i="1"/>
  <c r="J467" i="1" s="1"/>
  <c r="I466" i="1"/>
  <c r="J466" i="1" s="1"/>
  <c r="J465" i="1"/>
  <c r="I465" i="1"/>
  <c r="J464" i="1"/>
  <c r="I464" i="1"/>
  <c r="I463" i="1"/>
  <c r="J463" i="1" s="1"/>
  <c r="I462" i="1"/>
  <c r="J462" i="1" s="1"/>
  <c r="I461" i="1"/>
  <c r="J461" i="1" s="1"/>
  <c r="I460" i="1"/>
  <c r="J460" i="1" s="1"/>
  <c r="I459" i="1"/>
  <c r="J459" i="1" s="1"/>
  <c r="I458" i="1"/>
  <c r="J458" i="1" s="1"/>
  <c r="I457" i="1"/>
  <c r="J457" i="1" s="1"/>
  <c r="J456" i="1"/>
  <c r="I456" i="1"/>
  <c r="I455" i="1"/>
  <c r="J455" i="1" s="1"/>
  <c r="I454" i="1"/>
  <c r="J454" i="1" s="1"/>
  <c r="I453" i="1"/>
  <c r="J453" i="1" s="1"/>
  <c r="I452" i="1"/>
  <c r="J452" i="1" s="1"/>
  <c r="I451" i="1"/>
  <c r="J451" i="1" s="1"/>
  <c r="I450" i="1"/>
  <c r="J450" i="1" s="1"/>
  <c r="J449" i="1"/>
  <c r="I449" i="1"/>
  <c r="J448" i="1"/>
  <c r="I448" i="1"/>
  <c r="I447" i="1"/>
  <c r="J447" i="1" s="1"/>
  <c r="I446" i="1"/>
  <c r="J446" i="1" s="1"/>
  <c r="I445" i="1"/>
  <c r="J445" i="1" s="1"/>
  <c r="I444" i="1"/>
  <c r="J444" i="1" s="1"/>
  <c r="I443" i="1"/>
  <c r="J443" i="1" s="1"/>
  <c r="I442" i="1"/>
  <c r="J442" i="1" s="1"/>
  <c r="I441" i="1"/>
  <c r="J441" i="1" s="1"/>
  <c r="J440" i="1"/>
  <c r="I440" i="1"/>
  <c r="I439" i="1"/>
  <c r="J439" i="1" s="1"/>
  <c r="I438" i="1"/>
  <c r="J438" i="1" s="1"/>
  <c r="I437" i="1"/>
  <c r="J437" i="1" s="1"/>
  <c r="I436" i="1"/>
  <c r="J436" i="1" s="1"/>
  <c r="I435" i="1"/>
  <c r="J435" i="1" s="1"/>
  <c r="I434" i="1"/>
  <c r="J434" i="1" s="1"/>
  <c r="J433" i="1"/>
  <c r="I433" i="1"/>
  <c r="J432" i="1"/>
  <c r="I432" i="1"/>
  <c r="I431" i="1"/>
  <c r="J431" i="1" s="1"/>
  <c r="I430" i="1"/>
  <c r="J430" i="1" s="1"/>
  <c r="I429" i="1"/>
  <c r="J429" i="1" s="1"/>
  <c r="I428" i="1"/>
  <c r="J428" i="1" s="1"/>
  <c r="I427" i="1"/>
  <c r="J427" i="1" s="1"/>
  <c r="I426" i="1"/>
  <c r="J426" i="1" s="1"/>
  <c r="I425" i="1"/>
  <c r="J425" i="1" s="1"/>
  <c r="J424" i="1"/>
  <c r="I424" i="1"/>
  <c r="I423" i="1"/>
  <c r="J423" i="1" s="1"/>
  <c r="I422" i="1"/>
  <c r="J422" i="1" s="1"/>
  <c r="I421" i="1"/>
  <c r="J421" i="1" s="1"/>
  <c r="I420" i="1"/>
  <c r="J420" i="1" s="1"/>
  <c r="I419" i="1"/>
  <c r="J419" i="1" s="1"/>
  <c r="I418" i="1"/>
  <c r="J418" i="1" s="1"/>
  <c r="I417" i="1"/>
  <c r="J417" i="1" s="1"/>
  <c r="J416" i="1"/>
  <c r="I416" i="1"/>
  <c r="I415" i="1"/>
  <c r="J415" i="1" s="1"/>
  <c r="I414" i="1"/>
  <c r="J414" i="1" s="1"/>
  <c r="I413" i="1"/>
  <c r="J413" i="1" s="1"/>
  <c r="I412" i="1"/>
  <c r="J412" i="1" s="1"/>
  <c r="I411" i="1"/>
  <c r="J411" i="1" s="1"/>
  <c r="I410" i="1"/>
  <c r="J410" i="1" s="1"/>
  <c r="I409" i="1"/>
  <c r="J409" i="1" s="1"/>
  <c r="J408" i="1"/>
  <c r="I408" i="1"/>
  <c r="I407" i="1"/>
  <c r="J407" i="1" s="1"/>
  <c r="I406" i="1"/>
  <c r="J406" i="1" s="1"/>
  <c r="I405" i="1"/>
  <c r="J405" i="1" s="1"/>
  <c r="I404" i="1"/>
  <c r="J404" i="1" s="1"/>
  <c r="I403" i="1"/>
  <c r="J403" i="1" s="1"/>
  <c r="I402" i="1"/>
  <c r="J402" i="1" s="1"/>
  <c r="J401" i="1"/>
  <c r="I401" i="1"/>
  <c r="J400" i="1"/>
  <c r="I400" i="1"/>
  <c r="I399" i="1"/>
  <c r="J399" i="1" s="1"/>
  <c r="I398" i="1"/>
  <c r="J398" i="1" s="1"/>
  <c r="I397" i="1"/>
  <c r="J397" i="1" s="1"/>
  <c r="I396" i="1"/>
  <c r="J396" i="1" s="1"/>
  <c r="I395" i="1"/>
  <c r="J395" i="1" s="1"/>
  <c r="I394" i="1"/>
  <c r="J394" i="1" s="1"/>
  <c r="I393" i="1"/>
  <c r="J393" i="1" s="1"/>
  <c r="J392" i="1"/>
  <c r="I392" i="1"/>
  <c r="I391" i="1"/>
  <c r="J391" i="1" s="1"/>
  <c r="I390" i="1"/>
  <c r="J390" i="1" s="1"/>
  <c r="I389" i="1"/>
  <c r="J389" i="1" s="1"/>
  <c r="I388" i="1"/>
  <c r="J388" i="1" s="1"/>
  <c r="I387" i="1"/>
  <c r="J387" i="1" s="1"/>
  <c r="I386" i="1"/>
  <c r="J386" i="1" s="1"/>
  <c r="J385" i="1"/>
  <c r="I385" i="1"/>
  <c r="J384" i="1"/>
  <c r="I384" i="1"/>
  <c r="I383" i="1"/>
  <c r="J383" i="1" s="1"/>
  <c r="I382" i="1"/>
  <c r="J382" i="1" s="1"/>
  <c r="I381" i="1"/>
  <c r="J381" i="1" s="1"/>
  <c r="I380" i="1"/>
  <c r="J380" i="1" s="1"/>
  <c r="I379" i="1"/>
  <c r="J379" i="1" s="1"/>
  <c r="I378" i="1"/>
  <c r="J378" i="1" s="1"/>
  <c r="I377" i="1"/>
  <c r="J377" i="1" s="1"/>
  <c r="J376" i="1"/>
  <c r="I376" i="1"/>
  <c r="I375" i="1"/>
  <c r="J375" i="1" s="1"/>
  <c r="I374" i="1"/>
  <c r="J374" i="1" s="1"/>
  <c r="I373" i="1"/>
  <c r="J373" i="1" s="1"/>
  <c r="I372" i="1"/>
  <c r="J372" i="1" s="1"/>
  <c r="I371" i="1"/>
  <c r="J371" i="1" s="1"/>
  <c r="I370" i="1"/>
  <c r="J370" i="1" s="1"/>
  <c r="J369" i="1"/>
  <c r="I369" i="1"/>
  <c r="J368" i="1"/>
  <c r="I368" i="1"/>
  <c r="I367" i="1"/>
  <c r="J367" i="1" s="1"/>
  <c r="I366" i="1"/>
  <c r="J366" i="1" s="1"/>
  <c r="I365" i="1"/>
  <c r="J365" i="1" s="1"/>
  <c r="I364" i="1"/>
  <c r="J364" i="1" s="1"/>
  <c r="I363" i="1"/>
  <c r="J363" i="1" s="1"/>
  <c r="I362" i="1"/>
  <c r="J362" i="1" s="1"/>
  <c r="I361" i="1"/>
  <c r="J361" i="1" s="1"/>
  <c r="J360" i="1"/>
  <c r="I360" i="1"/>
  <c r="I359" i="1"/>
  <c r="J359" i="1" s="1"/>
  <c r="I358" i="1"/>
  <c r="J358" i="1" s="1"/>
  <c r="I357" i="1"/>
  <c r="J357" i="1" s="1"/>
  <c r="I356" i="1"/>
  <c r="J356" i="1" s="1"/>
  <c r="I355" i="1"/>
  <c r="J355" i="1" s="1"/>
  <c r="I354" i="1"/>
  <c r="J354" i="1" s="1"/>
  <c r="I353" i="1"/>
  <c r="J353" i="1" s="1"/>
  <c r="J352" i="1"/>
  <c r="I352" i="1"/>
  <c r="I351" i="1"/>
  <c r="J351" i="1" s="1"/>
  <c r="I350" i="1"/>
  <c r="J350" i="1" s="1"/>
  <c r="I349" i="1"/>
  <c r="J349" i="1" s="1"/>
  <c r="I348" i="1"/>
  <c r="J348" i="1" s="1"/>
  <c r="I347" i="1"/>
  <c r="J347" i="1" s="1"/>
  <c r="I346" i="1"/>
  <c r="J346" i="1" s="1"/>
  <c r="J345" i="1"/>
  <c r="I345" i="1"/>
  <c r="J344" i="1"/>
  <c r="I344" i="1"/>
  <c r="I343" i="1"/>
  <c r="J343" i="1" s="1"/>
  <c r="I342" i="1"/>
  <c r="J342" i="1" s="1"/>
  <c r="I341" i="1"/>
  <c r="J341" i="1" s="1"/>
  <c r="I340" i="1"/>
  <c r="J340" i="1" s="1"/>
  <c r="I339" i="1"/>
  <c r="J339" i="1" s="1"/>
  <c r="I338" i="1"/>
  <c r="J338" i="1" s="1"/>
  <c r="J337" i="1"/>
  <c r="I337" i="1"/>
  <c r="J336" i="1"/>
  <c r="I336" i="1"/>
  <c r="I335" i="1"/>
  <c r="J335" i="1" s="1"/>
  <c r="I334" i="1"/>
  <c r="J334" i="1" s="1"/>
  <c r="I333" i="1"/>
  <c r="J333" i="1" s="1"/>
  <c r="I332" i="1"/>
  <c r="J332" i="1" s="1"/>
  <c r="I331" i="1"/>
  <c r="J331" i="1" s="1"/>
  <c r="I330" i="1"/>
  <c r="J330" i="1" s="1"/>
  <c r="I329" i="1"/>
  <c r="J329" i="1" s="1"/>
  <c r="J328" i="1"/>
  <c r="I328" i="1"/>
  <c r="I327" i="1"/>
  <c r="J327" i="1" s="1"/>
  <c r="I326" i="1"/>
  <c r="J326" i="1" s="1"/>
  <c r="I325" i="1"/>
  <c r="J325" i="1" s="1"/>
  <c r="I324" i="1"/>
  <c r="J324" i="1" s="1"/>
  <c r="I323" i="1"/>
  <c r="J323" i="1" s="1"/>
  <c r="I322" i="1"/>
  <c r="J322" i="1" s="1"/>
  <c r="I321" i="1"/>
  <c r="J321" i="1" s="1"/>
  <c r="J320" i="1"/>
  <c r="I320" i="1"/>
  <c r="I319" i="1"/>
  <c r="J319" i="1" s="1"/>
  <c r="I318" i="1"/>
  <c r="J318" i="1" s="1"/>
  <c r="I317" i="1"/>
  <c r="J317" i="1" s="1"/>
  <c r="I316" i="1"/>
  <c r="J316" i="1" s="1"/>
  <c r="I315" i="1"/>
  <c r="J315" i="1" s="1"/>
  <c r="I314" i="1"/>
  <c r="J314" i="1" s="1"/>
  <c r="J313" i="1"/>
  <c r="I313" i="1"/>
  <c r="J312" i="1"/>
  <c r="I312" i="1"/>
  <c r="I311" i="1"/>
  <c r="J311" i="1" s="1"/>
  <c r="I310" i="1"/>
  <c r="J310" i="1" s="1"/>
  <c r="I309" i="1"/>
  <c r="J309" i="1" s="1"/>
  <c r="I308" i="1"/>
  <c r="J308" i="1" s="1"/>
  <c r="I307" i="1"/>
  <c r="J307" i="1" s="1"/>
  <c r="I306" i="1"/>
  <c r="J306" i="1" s="1"/>
  <c r="J305" i="1"/>
  <c r="I305" i="1"/>
  <c r="J304" i="1"/>
  <c r="I304" i="1"/>
  <c r="I303" i="1"/>
  <c r="J303" i="1" s="1"/>
  <c r="I302" i="1"/>
  <c r="J302" i="1" s="1"/>
  <c r="I301" i="1"/>
  <c r="J301" i="1" s="1"/>
  <c r="I300" i="1"/>
  <c r="J300" i="1" s="1"/>
  <c r="I299" i="1"/>
  <c r="J299" i="1" s="1"/>
  <c r="J298" i="1"/>
  <c r="I298" i="1"/>
  <c r="J297" i="1"/>
  <c r="I297" i="1"/>
  <c r="J296" i="1"/>
  <c r="I296" i="1"/>
  <c r="I295" i="1"/>
  <c r="J295" i="1" s="1"/>
  <c r="I294" i="1"/>
  <c r="J294" i="1" s="1"/>
  <c r="I293" i="1"/>
  <c r="J293" i="1" s="1"/>
  <c r="I292" i="1"/>
  <c r="J292" i="1" s="1"/>
  <c r="I291" i="1"/>
  <c r="J291" i="1" s="1"/>
  <c r="I290" i="1"/>
  <c r="J290" i="1" s="1"/>
  <c r="I289" i="1"/>
  <c r="J289" i="1" s="1"/>
  <c r="J288" i="1"/>
  <c r="I288" i="1"/>
  <c r="I287" i="1"/>
  <c r="J287" i="1" s="1"/>
  <c r="I286" i="1"/>
  <c r="J286" i="1" s="1"/>
  <c r="I285" i="1"/>
  <c r="J285" i="1" s="1"/>
  <c r="I284" i="1"/>
  <c r="J284" i="1" s="1"/>
  <c r="I283" i="1"/>
  <c r="J283" i="1" s="1"/>
  <c r="I282" i="1"/>
  <c r="J282" i="1" s="1"/>
  <c r="I281" i="1"/>
  <c r="J281" i="1" s="1"/>
  <c r="J280" i="1"/>
  <c r="I280" i="1"/>
  <c r="I279" i="1"/>
  <c r="J279" i="1" s="1"/>
  <c r="I278" i="1"/>
  <c r="J278" i="1" s="1"/>
  <c r="I277" i="1"/>
  <c r="J277" i="1" s="1"/>
  <c r="I276" i="1"/>
  <c r="J276" i="1" s="1"/>
  <c r="I275" i="1"/>
  <c r="J275" i="1" s="1"/>
  <c r="I274" i="1"/>
  <c r="J274" i="1" s="1"/>
  <c r="I273" i="1"/>
  <c r="J273" i="1" s="1"/>
  <c r="J272" i="1"/>
  <c r="I272" i="1"/>
  <c r="I271" i="1"/>
  <c r="J271" i="1" s="1"/>
  <c r="I270" i="1"/>
  <c r="J270" i="1" s="1"/>
  <c r="I269" i="1"/>
  <c r="J269" i="1" s="1"/>
  <c r="I268" i="1"/>
  <c r="J268" i="1" s="1"/>
  <c r="I267" i="1"/>
  <c r="J267" i="1" s="1"/>
  <c r="J266" i="1"/>
  <c r="I266" i="1"/>
  <c r="I265" i="1"/>
  <c r="J265" i="1" s="1"/>
  <c r="J264" i="1"/>
  <c r="I264" i="1"/>
  <c r="I263" i="1"/>
  <c r="J263" i="1" s="1"/>
  <c r="I262" i="1"/>
  <c r="J262" i="1" s="1"/>
  <c r="I261" i="1"/>
  <c r="J261" i="1" s="1"/>
  <c r="I260" i="1"/>
  <c r="J260" i="1" s="1"/>
  <c r="I259" i="1"/>
  <c r="J259" i="1" s="1"/>
  <c r="J258" i="1"/>
  <c r="I258" i="1"/>
  <c r="J257" i="1"/>
  <c r="I257" i="1"/>
  <c r="J256" i="1"/>
  <c r="I256" i="1"/>
  <c r="I255" i="1"/>
  <c r="J255" i="1" s="1"/>
  <c r="I254" i="1"/>
  <c r="J254" i="1" s="1"/>
  <c r="I253" i="1"/>
  <c r="J253" i="1" s="1"/>
  <c r="I252" i="1"/>
  <c r="J252" i="1" s="1"/>
  <c r="I251" i="1"/>
  <c r="J251" i="1" s="1"/>
  <c r="J250" i="1"/>
  <c r="I250" i="1"/>
  <c r="J249" i="1"/>
  <c r="I249" i="1"/>
  <c r="J248" i="1"/>
  <c r="I248" i="1"/>
  <c r="I247" i="1"/>
  <c r="J247" i="1" s="1"/>
  <c r="I246" i="1"/>
  <c r="J246" i="1" s="1"/>
  <c r="I245" i="1"/>
  <c r="J245" i="1" s="1"/>
  <c r="I244" i="1"/>
  <c r="J244" i="1" s="1"/>
  <c r="I243" i="1"/>
  <c r="J243" i="1" s="1"/>
  <c r="I242" i="1"/>
  <c r="J242" i="1" s="1"/>
  <c r="I241" i="1"/>
  <c r="J241" i="1" s="1"/>
  <c r="J240" i="1"/>
  <c r="I240" i="1"/>
  <c r="I239" i="1"/>
  <c r="J239" i="1" s="1"/>
  <c r="I238" i="1"/>
  <c r="J238" i="1" s="1"/>
  <c r="I237" i="1"/>
  <c r="J237" i="1" s="1"/>
  <c r="I236" i="1"/>
  <c r="J236" i="1" s="1"/>
  <c r="I235" i="1"/>
  <c r="J235" i="1" s="1"/>
  <c r="I234" i="1"/>
  <c r="J234" i="1" s="1"/>
  <c r="I233" i="1"/>
  <c r="J233" i="1" s="1"/>
  <c r="J232" i="1"/>
  <c r="I232" i="1"/>
  <c r="I231" i="1"/>
  <c r="J231" i="1" s="1"/>
  <c r="I230" i="1"/>
  <c r="J230" i="1" s="1"/>
  <c r="I229" i="1"/>
  <c r="J229" i="1" s="1"/>
  <c r="I228" i="1"/>
  <c r="J228" i="1" s="1"/>
  <c r="I227" i="1"/>
  <c r="J227" i="1" s="1"/>
  <c r="I226" i="1"/>
  <c r="J226" i="1" s="1"/>
  <c r="I225" i="1"/>
  <c r="J225" i="1" s="1"/>
  <c r="J224" i="1"/>
  <c r="I224" i="1"/>
  <c r="I223" i="1"/>
  <c r="J223" i="1" s="1"/>
  <c r="I222" i="1"/>
  <c r="J222" i="1" s="1"/>
  <c r="I221" i="1"/>
  <c r="J221" i="1" s="1"/>
  <c r="I220" i="1"/>
  <c r="J220" i="1" s="1"/>
  <c r="I219" i="1"/>
  <c r="J219" i="1" s="1"/>
  <c r="I218" i="1"/>
  <c r="J218" i="1" s="1"/>
  <c r="J217" i="1"/>
  <c r="I217" i="1"/>
  <c r="J216" i="1"/>
  <c r="I216" i="1"/>
  <c r="I215" i="1"/>
  <c r="J215" i="1" s="1"/>
  <c r="I214" i="1"/>
  <c r="J214" i="1" s="1"/>
  <c r="I213" i="1"/>
  <c r="J213" i="1" s="1"/>
  <c r="I212" i="1"/>
  <c r="J212" i="1" s="1"/>
  <c r="I211" i="1"/>
  <c r="J211" i="1" s="1"/>
  <c r="J210" i="1"/>
  <c r="I210" i="1"/>
  <c r="I209" i="1"/>
  <c r="J209" i="1" s="1"/>
  <c r="J208" i="1"/>
  <c r="I208" i="1"/>
  <c r="I207" i="1"/>
  <c r="J207" i="1" s="1"/>
  <c r="I206" i="1"/>
  <c r="J206" i="1" s="1"/>
  <c r="I205" i="1"/>
  <c r="J205" i="1" s="1"/>
  <c r="I204" i="1"/>
  <c r="J204" i="1" s="1"/>
  <c r="I203" i="1"/>
  <c r="J203" i="1" s="1"/>
  <c r="J202" i="1"/>
  <c r="I202" i="1"/>
  <c r="I201" i="1"/>
  <c r="J201" i="1" s="1"/>
  <c r="J200" i="1"/>
  <c r="I200" i="1"/>
  <c r="I199" i="1"/>
  <c r="J199" i="1" s="1"/>
  <c r="I198" i="1"/>
  <c r="J198" i="1" s="1"/>
  <c r="I197" i="1"/>
  <c r="J197" i="1" s="1"/>
  <c r="I196" i="1"/>
  <c r="J196" i="1" s="1"/>
  <c r="I195" i="1"/>
  <c r="J195" i="1" s="1"/>
  <c r="I194" i="1"/>
  <c r="J194" i="1" s="1"/>
  <c r="I193" i="1"/>
  <c r="J193" i="1" s="1"/>
  <c r="J192" i="1"/>
  <c r="I192" i="1"/>
  <c r="I191" i="1"/>
  <c r="J191" i="1" s="1"/>
  <c r="I190" i="1"/>
  <c r="J190" i="1" s="1"/>
  <c r="I189" i="1"/>
  <c r="J189" i="1" s="1"/>
  <c r="I188" i="1"/>
  <c r="J188" i="1" s="1"/>
  <c r="I187" i="1"/>
  <c r="J187" i="1" s="1"/>
  <c r="I186" i="1"/>
  <c r="J186" i="1" s="1"/>
  <c r="J185" i="1"/>
  <c r="I185" i="1"/>
  <c r="J184" i="1"/>
  <c r="I184" i="1"/>
  <c r="I183" i="1"/>
  <c r="J183" i="1" s="1"/>
  <c r="I182" i="1"/>
  <c r="J182" i="1" s="1"/>
  <c r="I181" i="1"/>
  <c r="J181" i="1" s="1"/>
  <c r="I180" i="1"/>
  <c r="J180" i="1" s="1"/>
  <c r="I179" i="1"/>
  <c r="J179" i="1" s="1"/>
  <c r="I178" i="1"/>
  <c r="J178" i="1" s="1"/>
  <c r="J177" i="1"/>
  <c r="I177" i="1"/>
  <c r="J176" i="1"/>
  <c r="I176" i="1"/>
  <c r="I175" i="1"/>
  <c r="J175" i="1" s="1"/>
  <c r="I174" i="1"/>
  <c r="J174" i="1" s="1"/>
  <c r="I173" i="1"/>
  <c r="J173" i="1" s="1"/>
  <c r="I172" i="1"/>
  <c r="J172" i="1" s="1"/>
  <c r="I171" i="1"/>
  <c r="J171" i="1" s="1"/>
  <c r="J170" i="1"/>
  <c r="I170" i="1"/>
  <c r="J169" i="1"/>
  <c r="I169" i="1"/>
  <c r="J168" i="1"/>
  <c r="I168" i="1"/>
  <c r="I167" i="1"/>
  <c r="J167" i="1" s="1"/>
  <c r="I166" i="1"/>
  <c r="J166" i="1" s="1"/>
  <c r="I165" i="1"/>
  <c r="J165" i="1" s="1"/>
  <c r="I164" i="1"/>
  <c r="J164" i="1" s="1"/>
  <c r="I163" i="1"/>
  <c r="J163" i="1" s="1"/>
  <c r="I162" i="1"/>
  <c r="J162" i="1" s="1"/>
  <c r="I161" i="1"/>
  <c r="J161" i="1" s="1"/>
  <c r="J160" i="1"/>
  <c r="I160" i="1"/>
  <c r="I159" i="1"/>
  <c r="J159" i="1" s="1"/>
  <c r="I158" i="1"/>
  <c r="J158" i="1" s="1"/>
  <c r="I157" i="1"/>
  <c r="J157" i="1" s="1"/>
  <c r="I156" i="1"/>
  <c r="J156" i="1" s="1"/>
  <c r="I155" i="1"/>
  <c r="J155" i="1" s="1"/>
  <c r="I154" i="1"/>
  <c r="J154" i="1" s="1"/>
  <c r="I153" i="1"/>
  <c r="J153" i="1" s="1"/>
  <c r="J152" i="1"/>
  <c r="I152" i="1"/>
  <c r="I151" i="1"/>
  <c r="J151" i="1" s="1"/>
  <c r="I150" i="1"/>
  <c r="J150" i="1" s="1"/>
  <c r="I149" i="1"/>
  <c r="J149" i="1" s="1"/>
  <c r="I148" i="1"/>
  <c r="J148" i="1" s="1"/>
  <c r="I147" i="1"/>
  <c r="J147" i="1" s="1"/>
  <c r="I146" i="1"/>
  <c r="J146" i="1" s="1"/>
  <c r="I145" i="1"/>
  <c r="J145" i="1" s="1"/>
  <c r="J144" i="1"/>
  <c r="I144" i="1"/>
  <c r="I143" i="1"/>
  <c r="J143" i="1" s="1"/>
  <c r="I142" i="1"/>
  <c r="J142" i="1" s="1"/>
  <c r="I141" i="1"/>
  <c r="J141" i="1" s="1"/>
  <c r="I140" i="1"/>
  <c r="J140" i="1" s="1"/>
  <c r="I139" i="1"/>
  <c r="J139" i="1" s="1"/>
  <c r="J138" i="1"/>
  <c r="I138" i="1"/>
  <c r="I137" i="1"/>
  <c r="J137" i="1" s="1"/>
  <c r="J136" i="1"/>
  <c r="I136" i="1"/>
  <c r="I135" i="1"/>
  <c r="J135" i="1" s="1"/>
  <c r="I134" i="1"/>
  <c r="J134" i="1" s="1"/>
  <c r="I133" i="1"/>
  <c r="J133" i="1" s="1"/>
  <c r="I132" i="1"/>
  <c r="J132" i="1" s="1"/>
  <c r="I131" i="1"/>
  <c r="J131" i="1" s="1"/>
  <c r="J130" i="1"/>
  <c r="I130" i="1"/>
  <c r="I129" i="1"/>
  <c r="J129" i="1" s="1"/>
  <c r="J128" i="1"/>
  <c r="I128" i="1"/>
  <c r="I127" i="1"/>
  <c r="J127" i="1" s="1"/>
  <c r="I126" i="1"/>
  <c r="J126" i="1" s="1"/>
  <c r="I125" i="1"/>
  <c r="J125" i="1" s="1"/>
  <c r="I124" i="1"/>
  <c r="J124" i="1" s="1"/>
  <c r="I123" i="1"/>
  <c r="J123" i="1" s="1"/>
  <c r="J122" i="1"/>
  <c r="I122" i="1"/>
  <c r="J121" i="1"/>
  <c r="I121" i="1"/>
  <c r="J120" i="1"/>
  <c r="I120" i="1"/>
  <c r="I119" i="1"/>
  <c r="J119" i="1" s="1"/>
  <c r="I118" i="1"/>
  <c r="J118" i="1" s="1"/>
  <c r="I117" i="1"/>
  <c r="J117" i="1" s="1"/>
  <c r="I116" i="1"/>
  <c r="J116" i="1" s="1"/>
  <c r="I115" i="1"/>
  <c r="J115" i="1" s="1"/>
  <c r="I114" i="1"/>
  <c r="J114" i="1" s="1"/>
  <c r="I113" i="1"/>
  <c r="J113" i="1" s="1"/>
  <c r="J112" i="1"/>
  <c r="I112" i="1"/>
  <c r="I111" i="1"/>
  <c r="J111" i="1" s="1"/>
  <c r="I110" i="1"/>
  <c r="J110" i="1" s="1"/>
  <c r="I109" i="1"/>
  <c r="J109" i="1" s="1"/>
  <c r="I108" i="1"/>
  <c r="J108" i="1" s="1"/>
  <c r="I107" i="1"/>
  <c r="J107" i="1" s="1"/>
  <c r="I106" i="1"/>
  <c r="J106" i="1" s="1"/>
  <c r="I105" i="1"/>
  <c r="J105" i="1" s="1"/>
  <c r="J104" i="1"/>
  <c r="I104" i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J96" i="1"/>
  <c r="I96" i="1"/>
  <c r="I95" i="1"/>
  <c r="J95" i="1" s="1"/>
  <c r="I94" i="1"/>
  <c r="J94" i="1" s="1"/>
  <c r="I93" i="1"/>
  <c r="J93" i="1" s="1"/>
  <c r="I92" i="1"/>
  <c r="J92" i="1" s="1"/>
  <c r="I91" i="1"/>
  <c r="J91" i="1" s="1"/>
  <c r="I90" i="1"/>
  <c r="J90" i="1" s="1"/>
  <c r="J89" i="1"/>
  <c r="I89" i="1"/>
  <c r="J88" i="1"/>
  <c r="I88" i="1"/>
  <c r="I87" i="1"/>
  <c r="J87" i="1" s="1"/>
  <c r="I86" i="1"/>
  <c r="J86" i="1" s="1"/>
  <c r="I85" i="1"/>
  <c r="J85" i="1" s="1"/>
  <c r="I84" i="1"/>
  <c r="J84" i="1" s="1"/>
  <c r="I83" i="1"/>
  <c r="J83" i="1" s="1"/>
  <c r="I82" i="1"/>
  <c r="J82" i="1" s="1"/>
  <c r="I81" i="1"/>
  <c r="J81" i="1" s="1"/>
  <c r="J80" i="1"/>
  <c r="I80" i="1"/>
  <c r="I79" i="1"/>
  <c r="J79" i="1" s="1"/>
  <c r="I78" i="1"/>
  <c r="J78" i="1" s="1"/>
  <c r="I77" i="1"/>
  <c r="J77" i="1" s="1"/>
  <c r="I76" i="1"/>
  <c r="J76" i="1" s="1"/>
  <c r="I75" i="1"/>
  <c r="J75" i="1" s="1"/>
  <c r="I74" i="1"/>
  <c r="J74" i="1" s="1"/>
  <c r="J73" i="1"/>
  <c r="I73" i="1"/>
  <c r="J72" i="1"/>
  <c r="I72" i="1"/>
  <c r="I71" i="1"/>
  <c r="J71" i="1" s="1"/>
  <c r="I70" i="1"/>
  <c r="J70" i="1" s="1"/>
  <c r="I69" i="1"/>
  <c r="J69" i="1" s="1"/>
  <c r="I68" i="1"/>
  <c r="J68" i="1" s="1"/>
  <c r="I67" i="1"/>
  <c r="J67" i="1" s="1"/>
  <c r="J66" i="1"/>
  <c r="I66" i="1"/>
  <c r="J65" i="1"/>
  <c r="I65" i="1"/>
  <c r="J64" i="1"/>
  <c r="I64" i="1"/>
  <c r="I63" i="1"/>
  <c r="J63" i="1" s="1"/>
  <c r="I62" i="1"/>
  <c r="J62" i="1" s="1"/>
  <c r="I61" i="1"/>
  <c r="J61" i="1" s="1"/>
  <c r="I60" i="1"/>
  <c r="J60" i="1" s="1"/>
  <c r="I59" i="1"/>
  <c r="J59" i="1" s="1"/>
  <c r="I58" i="1"/>
  <c r="J58" i="1" s="1"/>
  <c r="I57" i="1"/>
  <c r="J57" i="1" s="1"/>
  <c r="J56" i="1"/>
  <c r="I56" i="1"/>
  <c r="I55" i="1"/>
  <c r="J55" i="1" s="1"/>
  <c r="I54" i="1"/>
  <c r="J54" i="1" s="1"/>
  <c r="I53" i="1"/>
  <c r="J53" i="1" s="1"/>
  <c r="I52" i="1"/>
  <c r="J52" i="1" s="1"/>
  <c r="I51" i="1"/>
  <c r="J51" i="1" s="1"/>
  <c r="I50" i="1"/>
  <c r="J50" i="1" s="1"/>
  <c r="I49" i="1"/>
  <c r="J49" i="1" s="1"/>
  <c r="J48" i="1"/>
  <c r="I48" i="1"/>
  <c r="I47" i="1"/>
  <c r="J47" i="1" s="1"/>
  <c r="I46" i="1"/>
  <c r="J46" i="1" s="1"/>
  <c r="I45" i="1"/>
  <c r="J45" i="1" s="1"/>
  <c r="I44" i="1"/>
  <c r="J44" i="1" s="1"/>
  <c r="I43" i="1"/>
  <c r="J43" i="1" s="1"/>
  <c r="I42" i="1"/>
  <c r="J42" i="1" s="1"/>
  <c r="I41" i="1"/>
  <c r="J41" i="1" s="1"/>
  <c r="J40" i="1"/>
  <c r="I40" i="1"/>
  <c r="I39" i="1"/>
  <c r="J39" i="1" s="1"/>
  <c r="I38" i="1"/>
  <c r="J38" i="1" s="1"/>
  <c r="I37" i="1"/>
  <c r="J37" i="1" s="1"/>
  <c r="I36" i="1"/>
  <c r="J36" i="1" s="1"/>
  <c r="I35" i="1"/>
  <c r="J35" i="1" s="1"/>
  <c r="I34" i="1"/>
  <c r="J34" i="1" s="1"/>
  <c r="I33" i="1"/>
  <c r="J33" i="1" s="1"/>
  <c r="J32" i="1"/>
  <c r="I32" i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J24" i="1"/>
  <c r="I24" i="1"/>
  <c r="I23" i="1"/>
  <c r="J23" i="1" s="1"/>
  <c r="I22" i="1"/>
  <c r="J22" i="1" s="1"/>
  <c r="I21" i="1"/>
  <c r="J21" i="1" s="1"/>
  <c r="I20" i="1"/>
  <c r="J20" i="1" s="1"/>
  <c r="I19" i="1"/>
  <c r="J19" i="1" s="1"/>
  <c r="J18" i="1"/>
  <c r="I18" i="1"/>
  <c r="I17" i="1"/>
  <c r="J17" i="1" s="1"/>
  <c r="H19" i="2" s="1"/>
  <c r="J16" i="1"/>
  <c r="H18" i="2" s="1"/>
  <c r="I16" i="1"/>
  <c r="I15" i="1"/>
  <c r="J15" i="1" s="1"/>
  <c r="H17" i="2" s="1"/>
  <c r="I14" i="1"/>
  <c r="J14" i="1" s="1"/>
  <c r="H16" i="2" s="1"/>
  <c r="I13" i="1"/>
  <c r="J13" i="1" s="1"/>
  <c r="H15" i="2" s="1"/>
  <c r="I12" i="1"/>
  <c r="J12" i="1" s="1"/>
  <c r="H14" i="2" s="1"/>
  <c r="I11" i="1"/>
  <c r="J11" i="1" s="1"/>
  <c r="H13" i="2" s="1"/>
  <c r="J10" i="1"/>
  <c r="I10" i="1"/>
  <c r="J9" i="1"/>
  <c r="I9" i="1"/>
  <c r="J8" i="1"/>
  <c r="H10" i="2" s="1"/>
  <c r="I8" i="1"/>
  <c r="I7" i="1"/>
  <c r="J7" i="1" s="1"/>
  <c r="H9" i="2" s="1"/>
  <c r="I6" i="1"/>
  <c r="J6" i="1" s="1"/>
  <c r="H8" i="2" s="1"/>
  <c r="I5" i="1"/>
  <c r="J5" i="1" s="1"/>
  <c r="H7" i="2" s="1"/>
  <c r="I4" i="1"/>
  <c r="J4" i="1" s="1"/>
  <c r="H6" i="2" s="1"/>
  <c r="I3" i="1"/>
  <c r="J3" i="1" s="1"/>
  <c r="H5" i="2" s="1"/>
  <c r="I2" i="1"/>
  <c r="J2" i="1" s="1"/>
  <c r="E6" i="2" l="1"/>
  <c r="H4" i="2"/>
  <c r="B4" i="2"/>
  <c r="E5" i="2"/>
  <c r="H11" i="2"/>
  <c r="H12" i="2"/>
  <c r="E4" i="2"/>
</calcChain>
</file>

<file path=xl/sharedStrings.xml><?xml version="1.0" encoding="utf-8"?>
<sst xmlns="http://schemas.openxmlformats.org/spreadsheetml/2006/main" count="2939" uniqueCount="68">
  <si>
    <t>Date</t>
  </si>
  <si>
    <t>Day</t>
  </si>
  <si>
    <t>Day Type</t>
  </si>
  <si>
    <t>Hour</t>
  </si>
  <si>
    <t>Store Transactions</t>
  </si>
  <si>
    <t>Restaurant Orders</t>
  </si>
  <si>
    <t>Fuel Sales</t>
  </si>
  <si>
    <t>Avg Basket Value</t>
  </si>
  <si>
    <t>Store Sales</t>
  </si>
  <si>
    <t>Total Sales</t>
  </si>
  <si>
    <t>Inventory Risk</t>
  </si>
  <si>
    <t>Peak Hour</t>
  </si>
  <si>
    <t>Category Focus</t>
  </si>
  <si>
    <t>Sunday</t>
  </si>
  <si>
    <t>6 AM</t>
  </si>
  <si>
    <t>Low</t>
  </si>
  <si>
    <t>No</t>
  </si>
  <si>
    <t>Drinks</t>
  </si>
  <si>
    <t>7 AM</t>
  </si>
  <si>
    <t>8 AM</t>
  </si>
  <si>
    <t>Snacks</t>
  </si>
  <si>
    <t>9 AM</t>
  </si>
  <si>
    <t>10 AM</t>
  </si>
  <si>
    <t>11 AM</t>
  </si>
  <si>
    <t>Hot Food</t>
  </si>
  <si>
    <t>12 PM</t>
  </si>
  <si>
    <t>Medium</t>
  </si>
  <si>
    <t>1 PM</t>
  </si>
  <si>
    <t>Yes</t>
  </si>
  <si>
    <t>2 PM</t>
  </si>
  <si>
    <t>3 PM</t>
  </si>
  <si>
    <t>4 PM</t>
  </si>
  <si>
    <t>5 PM</t>
  </si>
  <si>
    <t>6 PM</t>
  </si>
  <si>
    <t>7 PM</t>
  </si>
  <si>
    <t>Misc.</t>
  </si>
  <si>
    <t>8 PM</t>
  </si>
  <si>
    <t>9 PM</t>
  </si>
  <si>
    <t>Monday</t>
  </si>
  <si>
    <t>Weekday</t>
  </si>
  <si>
    <t>High</t>
  </si>
  <si>
    <t>Tuesday</t>
  </si>
  <si>
    <t>Wednesday</t>
  </si>
  <si>
    <t>Thursday</t>
  </si>
  <si>
    <t>Friday</t>
  </si>
  <si>
    <t>Saturday</t>
  </si>
  <si>
    <t>BP Wayne Truck Stop Dashboard Summary</t>
  </si>
  <si>
    <t>KPI</t>
  </si>
  <si>
    <t>Value</t>
  </si>
  <si>
    <t>Total Store Transactions</t>
  </si>
  <si>
    <t>Total Restaurant Orders</t>
  </si>
  <si>
    <t>Average Basket Value</t>
  </si>
  <si>
    <t>Peak Hour Rows</t>
  </si>
  <si>
    <t>High Inventory Risk Rows</t>
  </si>
  <si>
    <t>What this workbook is</t>
  </si>
  <si>
    <t>A sample 30-day Excel dataset for the BP Wayne Truck Stop Sales &amp; Traffic Performance Dashboard project.</t>
  </si>
  <si>
    <t>How to use it</t>
  </si>
  <si>
    <t>Start in the Data sheet. Review the hourly rows, formulas, and traffic patterns. Then use the Summary sheet to see KPIs and charts.</t>
  </si>
  <si>
    <t>Do I need Power BI?</t>
  </si>
  <si>
    <t>Use Excel first. Power BI is optional but recommended if you want a cleaner portfolio dashboard. You can import the Data sheet into Power BI later.</t>
  </si>
  <si>
    <t>What the file includes</t>
  </si>
  <si>
    <t>30 days of data, 16 hourly rows per day, formulas for Store Sales and Total Sales, KPI summary, and sample charts.</t>
  </si>
  <si>
    <t>6 KPIs used</t>
  </si>
  <si>
    <t>Total Sales; Total Store Transactions; Total Restaurant Orders; Average Basket Value; Peak Hour Rows; High Inventory Risk Rows.</t>
  </si>
  <si>
    <t>Expected business story</t>
  </si>
  <si>
    <t>Weekdays peak around 5 PM, Saturdays are busiest in the afternoon, and Sundays are the slowest day.</t>
  </si>
  <si>
    <t>Next step</t>
  </si>
  <si>
    <t>Replace any sample values later if you want to customize the project for your own version.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</si>
</sst>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3" fillId="3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Sales by Day Type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Sales</c:v>
          </c:tx>
          <c:invertIfNegative val="1"/>
          <c:cat>
            <c:strRef>
              <c:f>Summary!$D$4:$D$6</c:f>
              <c:strCache>
                <c:ptCount val="3"/>
                <c:pt idx="0">
                  <c:v>Weekday</c:v>
                </c:pt>
                <c:pt idx="1">
                  <c:v>Saturday</c:v>
                </c:pt>
                <c:pt idx="2">
                  <c:v>Sunday</c:v>
                </c:pt>
              </c:strCache>
            </c:strRef>
          </c:cat>
          <c:val>
            <c:numRef>
              <c:f>Summary!$E$4:$E$6</c:f>
              <c:numCache>
                <c:formatCode>\$#,##0.00</c:formatCode>
                <c:ptCount val="3"/>
                <c:pt idx="0">
                  <c:v>125800.5</c:v>
                </c:pt>
                <c:pt idx="1">
                  <c:v>23406</c:v>
                </c:pt>
                <c:pt idx="2">
                  <c:v>13402.5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75-4E1E-BF64-4EA36CD48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Sales by Hour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Total Sales</c:v>
          </c:tx>
          <c:cat>
            <c:strRef>
              <c:f>Summary!$G$4:$G$19</c:f>
              <c:strCache>
                <c:ptCount val="16"/>
                <c:pt idx="0">
                  <c:v>6 AM</c:v>
                </c:pt>
                <c:pt idx="1">
                  <c:v>7 AM</c:v>
                </c:pt>
                <c:pt idx="2">
                  <c:v>8 AM</c:v>
                </c:pt>
                <c:pt idx="3">
                  <c:v>9 AM</c:v>
                </c:pt>
                <c:pt idx="4">
                  <c:v>10 AM</c:v>
                </c:pt>
                <c:pt idx="5">
                  <c:v>11 AM</c:v>
                </c:pt>
                <c:pt idx="6">
                  <c:v>12 PM</c:v>
                </c:pt>
                <c:pt idx="7">
                  <c:v>1 PM</c:v>
                </c:pt>
                <c:pt idx="8">
                  <c:v>2 PM</c:v>
                </c:pt>
                <c:pt idx="9">
                  <c:v>3 PM</c:v>
                </c:pt>
                <c:pt idx="10">
                  <c:v>4 PM</c:v>
                </c:pt>
                <c:pt idx="11">
                  <c:v>5 PM</c:v>
                </c:pt>
                <c:pt idx="12">
                  <c:v>6 PM</c:v>
                </c:pt>
                <c:pt idx="13">
                  <c:v>7 PM</c:v>
                </c:pt>
                <c:pt idx="14">
                  <c:v>8 PM</c:v>
                </c:pt>
                <c:pt idx="15">
                  <c:v>9 PM</c:v>
                </c:pt>
              </c:strCache>
            </c:strRef>
          </c:cat>
          <c:val>
            <c:numRef>
              <c:f>Summary!$H$4:$H$19</c:f>
              <c:numCache>
                <c:formatCode>\$#,##0.00</c:formatCode>
                <c:ptCount val="16"/>
                <c:pt idx="0">
                  <c:v>5878</c:v>
                </c:pt>
                <c:pt idx="1">
                  <c:v>8394</c:v>
                </c:pt>
                <c:pt idx="2">
                  <c:v>10226</c:v>
                </c:pt>
                <c:pt idx="3">
                  <c:v>7734</c:v>
                </c:pt>
                <c:pt idx="4">
                  <c:v>7448</c:v>
                </c:pt>
                <c:pt idx="5">
                  <c:v>9428</c:v>
                </c:pt>
                <c:pt idx="6">
                  <c:v>12493</c:v>
                </c:pt>
                <c:pt idx="7">
                  <c:v>12034</c:v>
                </c:pt>
                <c:pt idx="8">
                  <c:v>10343.5</c:v>
                </c:pt>
                <c:pt idx="9">
                  <c:v>10884</c:v>
                </c:pt>
                <c:pt idx="10">
                  <c:v>13541</c:v>
                </c:pt>
                <c:pt idx="11">
                  <c:v>16512</c:v>
                </c:pt>
                <c:pt idx="12">
                  <c:v>13955</c:v>
                </c:pt>
                <c:pt idx="13">
                  <c:v>10581</c:v>
                </c:pt>
                <c:pt idx="14">
                  <c:v>7767.5</c:v>
                </c:pt>
                <c:pt idx="15">
                  <c:v>5390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2F-441C-A8B1-9F3C643B7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16</xdr:col>
      <xdr:colOff>0</xdr:colOff>
      <xdr:row>14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16</xdr:col>
      <xdr:colOff>0</xdr:colOff>
      <xdr:row>34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PDataTable" displayName="BPDataTable" ref="A1:M481">
  <tableColumns count="13">
    <tableColumn id="1" xr3:uid="{00000000-0010-0000-0000-000001000000}" name="Date"/>
    <tableColumn id="2" xr3:uid="{00000000-0010-0000-0000-000002000000}" name="Day"/>
    <tableColumn id="3" xr3:uid="{00000000-0010-0000-0000-000003000000}" name="Day Type"/>
    <tableColumn id="4" xr3:uid="{00000000-0010-0000-0000-000004000000}" name="Hour"/>
    <tableColumn id="5" xr3:uid="{00000000-0010-0000-0000-000005000000}" name="Store Transactions"/>
    <tableColumn id="6" xr3:uid="{00000000-0010-0000-0000-000006000000}" name="Restaurant Orders"/>
    <tableColumn id="7" xr3:uid="{00000000-0010-0000-0000-000007000000}" name="Fuel Sales"/>
    <tableColumn id="8" xr3:uid="{00000000-0010-0000-0000-000008000000}" name="Avg Basket Value"/>
    <tableColumn id="9" xr3:uid="{00000000-0010-0000-0000-000009000000}" name="Store Sales"/>
    <tableColumn id="10" xr3:uid="{00000000-0010-0000-0000-00000A000000}" name="Total Sales"/>
    <tableColumn id="11" xr3:uid="{00000000-0010-0000-0000-00000B000000}" name="Inventory Risk"/>
    <tableColumn id="12" xr3:uid="{00000000-0010-0000-0000-00000C000000}" name="Peak Hour"/>
    <tableColumn id="13" xr3:uid="{00000000-0010-0000-0000-00000D000000}" name="Category Foc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1"/>
  <sheetViews>
    <sheetView tabSelected="1" workbookViewId="0">
      <selection activeCell="E1" sqref="E1:E1048576"/>
    </sheetView>
  </sheetViews>
  <sheetFormatPr defaultRowHeight="14.25"/>
  <cols>
    <col min="1" max="1" width="12" customWidth="1"/>
    <col min="2" max="2" width="10.625" bestFit="1" customWidth="1"/>
    <col min="3" max="3" width="9" bestFit="1" customWidth="1"/>
    <col min="4" max="4" width="6" bestFit="1" customWidth="1"/>
    <col min="5" max="5" width="18" bestFit="1" customWidth="1"/>
    <col min="6" max="6" width="17.625" bestFit="1" customWidth="1"/>
    <col min="7" max="7" width="10.125" bestFit="1" customWidth="1"/>
    <col min="8" max="8" width="16.375" bestFit="1" customWidth="1"/>
    <col min="9" max="9" width="11.125" bestFit="1" customWidth="1"/>
    <col min="10" max="10" width="10.75" bestFit="1" customWidth="1"/>
    <col min="11" max="11" width="13.75" bestFit="1" customWidth="1"/>
    <col min="12" max="12" width="11.125" customWidth="1"/>
    <col min="13" max="13" width="14.875" bestFit="1" customWidth="1"/>
  </cols>
  <sheetData>
    <row r="1" spans="1:13" ht="2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46082</v>
      </c>
      <c r="B2" t="s">
        <v>13</v>
      </c>
      <c r="C2" t="s">
        <v>13</v>
      </c>
      <c r="D2" t="s">
        <v>14</v>
      </c>
      <c r="E2" s="4">
        <v>3</v>
      </c>
      <c r="F2" s="4">
        <v>0</v>
      </c>
      <c r="G2" s="4">
        <v>80</v>
      </c>
      <c r="H2" s="3">
        <v>6</v>
      </c>
      <c r="I2" s="3">
        <f t="shared" ref="I2:I65" si="0">E2*H2</f>
        <v>18</v>
      </c>
      <c r="J2" s="3">
        <f t="shared" ref="J2:J65" si="1">G2+I2</f>
        <v>98</v>
      </c>
      <c r="K2" t="s">
        <v>15</v>
      </c>
      <c r="L2" t="s">
        <v>16</v>
      </c>
      <c r="M2" t="s">
        <v>17</v>
      </c>
    </row>
    <row r="3" spans="1:13">
      <c r="A3" s="2">
        <v>46082</v>
      </c>
      <c r="B3" t="s">
        <v>13</v>
      </c>
      <c r="C3" t="s">
        <v>13</v>
      </c>
      <c r="D3" t="s">
        <v>18</v>
      </c>
      <c r="E3" s="4">
        <v>4</v>
      </c>
      <c r="F3" s="4">
        <v>1</v>
      </c>
      <c r="G3" s="4">
        <v>90</v>
      </c>
      <c r="H3" s="3">
        <v>6.5</v>
      </c>
      <c r="I3" s="3">
        <f t="shared" si="0"/>
        <v>26</v>
      </c>
      <c r="J3" s="3">
        <f t="shared" si="1"/>
        <v>116</v>
      </c>
      <c r="K3" t="s">
        <v>15</v>
      </c>
      <c r="L3" t="s">
        <v>16</v>
      </c>
      <c r="M3" t="s">
        <v>17</v>
      </c>
    </row>
    <row r="4" spans="1:13">
      <c r="A4" s="2">
        <v>46082</v>
      </c>
      <c r="B4" t="s">
        <v>13</v>
      </c>
      <c r="C4" t="s">
        <v>13</v>
      </c>
      <c r="D4" t="s">
        <v>19</v>
      </c>
      <c r="E4" s="4">
        <v>5</v>
      </c>
      <c r="F4" s="4">
        <v>1</v>
      </c>
      <c r="G4" s="4">
        <v>100</v>
      </c>
      <c r="H4" s="3">
        <v>7</v>
      </c>
      <c r="I4" s="3">
        <f t="shared" si="0"/>
        <v>35</v>
      </c>
      <c r="J4" s="3">
        <f t="shared" si="1"/>
        <v>135</v>
      </c>
      <c r="K4" t="s">
        <v>15</v>
      </c>
      <c r="L4" t="s">
        <v>16</v>
      </c>
      <c r="M4" t="s">
        <v>20</v>
      </c>
    </row>
    <row r="5" spans="1:13">
      <c r="A5" s="2">
        <v>46082</v>
      </c>
      <c r="B5" t="s">
        <v>13</v>
      </c>
      <c r="C5" t="s">
        <v>13</v>
      </c>
      <c r="D5" t="s">
        <v>21</v>
      </c>
      <c r="E5" s="4">
        <v>5</v>
      </c>
      <c r="F5" s="4">
        <v>2</v>
      </c>
      <c r="G5" s="4">
        <v>105</v>
      </c>
      <c r="H5" s="3">
        <v>7</v>
      </c>
      <c r="I5" s="3">
        <f t="shared" si="0"/>
        <v>35</v>
      </c>
      <c r="J5" s="3">
        <f t="shared" si="1"/>
        <v>140</v>
      </c>
      <c r="K5" t="s">
        <v>15</v>
      </c>
      <c r="L5" t="s">
        <v>16</v>
      </c>
      <c r="M5" t="s">
        <v>20</v>
      </c>
    </row>
    <row r="6" spans="1:13">
      <c r="A6" s="2">
        <v>46082</v>
      </c>
      <c r="B6" t="s">
        <v>13</v>
      </c>
      <c r="C6" t="s">
        <v>13</v>
      </c>
      <c r="D6" t="s">
        <v>22</v>
      </c>
      <c r="E6" s="4">
        <v>6</v>
      </c>
      <c r="F6" s="4">
        <v>2</v>
      </c>
      <c r="G6" s="4">
        <v>115</v>
      </c>
      <c r="H6" s="3">
        <v>7</v>
      </c>
      <c r="I6" s="3">
        <f t="shared" si="0"/>
        <v>42</v>
      </c>
      <c r="J6" s="3">
        <f t="shared" si="1"/>
        <v>157</v>
      </c>
      <c r="K6" t="s">
        <v>15</v>
      </c>
      <c r="L6" t="s">
        <v>16</v>
      </c>
      <c r="M6" t="s">
        <v>20</v>
      </c>
    </row>
    <row r="7" spans="1:13">
      <c r="A7" s="2">
        <v>46082</v>
      </c>
      <c r="B7" t="s">
        <v>13</v>
      </c>
      <c r="C7" t="s">
        <v>13</v>
      </c>
      <c r="D7" t="s">
        <v>23</v>
      </c>
      <c r="E7" s="4">
        <v>7</v>
      </c>
      <c r="F7" s="4">
        <v>4</v>
      </c>
      <c r="G7" s="4">
        <v>130</v>
      </c>
      <c r="H7" s="3">
        <v>8</v>
      </c>
      <c r="I7" s="3">
        <f t="shared" si="0"/>
        <v>56</v>
      </c>
      <c r="J7" s="3">
        <f t="shared" si="1"/>
        <v>186</v>
      </c>
      <c r="K7" t="s">
        <v>15</v>
      </c>
      <c r="L7" t="s">
        <v>16</v>
      </c>
      <c r="M7" t="s">
        <v>24</v>
      </c>
    </row>
    <row r="8" spans="1:13">
      <c r="A8" s="2">
        <v>46082</v>
      </c>
      <c r="B8" t="s">
        <v>13</v>
      </c>
      <c r="C8" t="s">
        <v>13</v>
      </c>
      <c r="D8" t="s">
        <v>25</v>
      </c>
      <c r="E8" s="4">
        <v>9</v>
      </c>
      <c r="F8" s="4">
        <v>6</v>
      </c>
      <c r="G8" s="4">
        <v>160</v>
      </c>
      <c r="H8" s="3">
        <v>9</v>
      </c>
      <c r="I8" s="3">
        <f t="shared" si="0"/>
        <v>81</v>
      </c>
      <c r="J8" s="3">
        <f t="shared" si="1"/>
        <v>241</v>
      </c>
      <c r="K8" t="s">
        <v>26</v>
      </c>
      <c r="L8" t="s">
        <v>16</v>
      </c>
      <c r="M8" t="s">
        <v>24</v>
      </c>
    </row>
    <row r="9" spans="1:13">
      <c r="A9" s="2">
        <v>46082</v>
      </c>
      <c r="B9" t="s">
        <v>13</v>
      </c>
      <c r="C9" t="s">
        <v>13</v>
      </c>
      <c r="D9" t="s">
        <v>27</v>
      </c>
      <c r="E9" s="4">
        <v>10</v>
      </c>
      <c r="F9" s="4">
        <v>7</v>
      </c>
      <c r="G9" s="4">
        <v>180</v>
      </c>
      <c r="H9" s="3">
        <v>9.5</v>
      </c>
      <c r="I9" s="3">
        <f t="shared" si="0"/>
        <v>95</v>
      </c>
      <c r="J9" s="3">
        <f t="shared" si="1"/>
        <v>275</v>
      </c>
      <c r="K9" t="s">
        <v>26</v>
      </c>
      <c r="L9" t="s">
        <v>28</v>
      </c>
      <c r="M9" t="s">
        <v>24</v>
      </c>
    </row>
    <row r="10" spans="1:13">
      <c r="A10" s="2">
        <v>46082</v>
      </c>
      <c r="B10" t="s">
        <v>13</v>
      </c>
      <c r="C10" t="s">
        <v>13</v>
      </c>
      <c r="D10" t="s">
        <v>29</v>
      </c>
      <c r="E10" s="4">
        <v>9</v>
      </c>
      <c r="F10" s="4">
        <v>6</v>
      </c>
      <c r="G10" s="4">
        <v>170</v>
      </c>
      <c r="H10" s="3">
        <v>9</v>
      </c>
      <c r="I10" s="3">
        <f t="shared" si="0"/>
        <v>81</v>
      </c>
      <c r="J10" s="3">
        <f t="shared" si="1"/>
        <v>251</v>
      </c>
      <c r="K10" t="s">
        <v>26</v>
      </c>
      <c r="L10" t="s">
        <v>16</v>
      </c>
      <c r="M10" t="s">
        <v>17</v>
      </c>
    </row>
    <row r="11" spans="1:13">
      <c r="A11" s="2">
        <v>46082</v>
      </c>
      <c r="B11" t="s">
        <v>13</v>
      </c>
      <c r="C11" t="s">
        <v>13</v>
      </c>
      <c r="D11" t="s">
        <v>30</v>
      </c>
      <c r="E11" s="4">
        <v>8</v>
      </c>
      <c r="F11" s="4">
        <v>5</v>
      </c>
      <c r="G11" s="4">
        <v>150</v>
      </c>
      <c r="H11" s="3">
        <v>8.5</v>
      </c>
      <c r="I11" s="3">
        <f t="shared" si="0"/>
        <v>68</v>
      </c>
      <c r="J11" s="3">
        <f t="shared" si="1"/>
        <v>218</v>
      </c>
      <c r="K11" t="s">
        <v>15</v>
      </c>
      <c r="L11" t="s">
        <v>16</v>
      </c>
      <c r="M11" t="s">
        <v>17</v>
      </c>
    </row>
    <row r="12" spans="1:13">
      <c r="A12" s="2">
        <v>46082</v>
      </c>
      <c r="B12" t="s">
        <v>13</v>
      </c>
      <c r="C12" t="s">
        <v>13</v>
      </c>
      <c r="D12" t="s">
        <v>31</v>
      </c>
      <c r="E12" s="4">
        <v>7</v>
      </c>
      <c r="F12" s="4">
        <v>4</v>
      </c>
      <c r="G12" s="4">
        <v>135</v>
      </c>
      <c r="H12" s="3">
        <v>8</v>
      </c>
      <c r="I12" s="3">
        <f t="shared" si="0"/>
        <v>56</v>
      </c>
      <c r="J12" s="3">
        <f t="shared" si="1"/>
        <v>191</v>
      </c>
      <c r="K12" t="s">
        <v>15</v>
      </c>
      <c r="L12" t="s">
        <v>16</v>
      </c>
      <c r="M12" t="s">
        <v>17</v>
      </c>
    </row>
    <row r="13" spans="1:13">
      <c r="A13" s="2">
        <v>46082</v>
      </c>
      <c r="B13" t="s">
        <v>13</v>
      </c>
      <c r="C13" t="s">
        <v>13</v>
      </c>
      <c r="D13" t="s">
        <v>32</v>
      </c>
      <c r="E13" s="4">
        <v>6</v>
      </c>
      <c r="F13" s="4">
        <v>3</v>
      </c>
      <c r="G13" s="4">
        <v>120</v>
      </c>
      <c r="H13" s="3">
        <v>8</v>
      </c>
      <c r="I13" s="3">
        <f t="shared" si="0"/>
        <v>48</v>
      </c>
      <c r="J13" s="3">
        <f t="shared" si="1"/>
        <v>168</v>
      </c>
      <c r="K13" t="s">
        <v>15</v>
      </c>
      <c r="L13" t="s">
        <v>16</v>
      </c>
      <c r="M13" t="s">
        <v>20</v>
      </c>
    </row>
    <row r="14" spans="1:13">
      <c r="A14" s="2">
        <v>46082</v>
      </c>
      <c r="B14" t="s">
        <v>13</v>
      </c>
      <c r="C14" t="s">
        <v>13</v>
      </c>
      <c r="D14" t="s">
        <v>33</v>
      </c>
      <c r="E14" s="4">
        <v>6</v>
      </c>
      <c r="F14" s="4">
        <v>3</v>
      </c>
      <c r="G14" s="4">
        <v>115</v>
      </c>
      <c r="H14" s="3">
        <v>8</v>
      </c>
      <c r="I14" s="3">
        <f t="shared" si="0"/>
        <v>48</v>
      </c>
      <c r="J14" s="3">
        <f t="shared" si="1"/>
        <v>163</v>
      </c>
      <c r="K14" t="s">
        <v>15</v>
      </c>
      <c r="L14" t="s">
        <v>16</v>
      </c>
      <c r="M14" t="s">
        <v>20</v>
      </c>
    </row>
    <row r="15" spans="1:13">
      <c r="A15" s="2">
        <v>46082</v>
      </c>
      <c r="B15" t="s">
        <v>13</v>
      </c>
      <c r="C15" t="s">
        <v>13</v>
      </c>
      <c r="D15" t="s">
        <v>34</v>
      </c>
      <c r="E15" s="4">
        <v>5</v>
      </c>
      <c r="F15" s="4">
        <v>2</v>
      </c>
      <c r="G15" s="4">
        <v>100</v>
      </c>
      <c r="H15" s="3">
        <v>7.5</v>
      </c>
      <c r="I15" s="3">
        <f t="shared" si="0"/>
        <v>37.5</v>
      </c>
      <c r="J15" s="3">
        <f t="shared" si="1"/>
        <v>137.5</v>
      </c>
      <c r="K15" t="s">
        <v>15</v>
      </c>
      <c r="L15" t="s">
        <v>16</v>
      </c>
      <c r="M15" t="s">
        <v>35</v>
      </c>
    </row>
    <row r="16" spans="1:13">
      <c r="A16" s="2">
        <v>46082</v>
      </c>
      <c r="B16" t="s">
        <v>13</v>
      </c>
      <c r="C16" t="s">
        <v>13</v>
      </c>
      <c r="D16" t="s">
        <v>36</v>
      </c>
      <c r="E16" s="4">
        <v>4</v>
      </c>
      <c r="F16" s="4">
        <v>1</v>
      </c>
      <c r="G16" s="4">
        <v>85</v>
      </c>
      <c r="H16" s="3">
        <v>7</v>
      </c>
      <c r="I16" s="3">
        <f t="shared" si="0"/>
        <v>28</v>
      </c>
      <c r="J16" s="3">
        <f t="shared" si="1"/>
        <v>113</v>
      </c>
      <c r="K16" t="s">
        <v>15</v>
      </c>
      <c r="L16" t="s">
        <v>16</v>
      </c>
      <c r="M16" t="s">
        <v>35</v>
      </c>
    </row>
    <row r="17" spans="1:13">
      <c r="A17" s="2">
        <v>46082</v>
      </c>
      <c r="B17" t="s">
        <v>13</v>
      </c>
      <c r="C17" t="s">
        <v>13</v>
      </c>
      <c r="D17" t="s">
        <v>37</v>
      </c>
      <c r="E17" s="4">
        <v>3</v>
      </c>
      <c r="F17" s="4">
        <v>1</v>
      </c>
      <c r="G17" s="4">
        <v>70</v>
      </c>
      <c r="H17" s="3">
        <v>7</v>
      </c>
      <c r="I17" s="3">
        <f t="shared" si="0"/>
        <v>21</v>
      </c>
      <c r="J17" s="3">
        <f t="shared" si="1"/>
        <v>91</v>
      </c>
      <c r="K17" t="s">
        <v>15</v>
      </c>
      <c r="L17" t="s">
        <v>16</v>
      </c>
      <c r="M17" t="s">
        <v>35</v>
      </c>
    </row>
    <row r="18" spans="1:13">
      <c r="A18" s="2">
        <v>46083</v>
      </c>
      <c r="B18" t="s">
        <v>38</v>
      </c>
      <c r="C18" t="s">
        <v>39</v>
      </c>
      <c r="D18" t="s">
        <v>14</v>
      </c>
      <c r="E18" s="4">
        <v>8</v>
      </c>
      <c r="F18" s="4">
        <v>2</v>
      </c>
      <c r="G18" s="4">
        <v>180</v>
      </c>
      <c r="H18" s="3">
        <v>6</v>
      </c>
      <c r="I18" s="3">
        <f t="shared" si="0"/>
        <v>48</v>
      </c>
      <c r="J18" s="3">
        <f t="shared" si="1"/>
        <v>228</v>
      </c>
      <c r="K18" t="s">
        <v>15</v>
      </c>
      <c r="L18" t="s">
        <v>16</v>
      </c>
      <c r="M18" t="s">
        <v>17</v>
      </c>
    </row>
    <row r="19" spans="1:13">
      <c r="A19" s="2">
        <v>46083</v>
      </c>
      <c r="B19" t="s">
        <v>38</v>
      </c>
      <c r="C19" t="s">
        <v>39</v>
      </c>
      <c r="D19" t="s">
        <v>18</v>
      </c>
      <c r="E19" s="4">
        <v>12</v>
      </c>
      <c r="F19" s="4">
        <v>3</v>
      </c>
      <c r="G19" s="4">
        <v>260</v>
      </c>
      <c r="H19" s="3">
        <v>6.5</v>
      </c>
      <c r="I19" s="3">
        <f t="shared" si="0"/>
        <v>78</v>
      </c>
      <c r="J19" s="3">
        <f t="shared" si="1"/>
        <v>338</v>
      </c>
      <c r="K19" t="s">
        <v>15</v>
      </c>
      <c r="L19" t="s">
        <v>16</v>
      </c>
      <c r="M19" t="s">
        <v>17</v>
      </c>
    </row>
    <row r="20" spans="1:13">
      <c r="A20" s="2">
        <v>46083</v>
      </c>
      <c r="B20" t="s">
        <v>38</v>
      </c>
      <c r="C20" t="s">
        <v>39</v>
      </c>
      <c r="D20" t="s">
        <v>19</v>
      </c>
      <c r="E20" s="4">
        <v>15</v>
      </c>
      <c r="F20" s="4">
        <v>4</v>
      </c>
      <c r="G20" s="4">
        <v>310</v>
      </c>
      <c r="H20" s="3">
        <v>7</v>
      </c>
      <c r="I20" s="3">
        <f t="shared" si="0"/>
        <v>105</v>
      </c>
      <c r="J20" s="3">
        <f t="shared" si="1"/>
        <v>415</v>
      </c>
      <c r="K20" t="s">
        <v>15</v>
      </c>
      <c r="L20" t="s">
        <v>16</v>
      </c>
      <c r="M20" t="s">
        <v>17</v>
      </c>
    </row>
    <row r="21" spans="1:13">
      <c r="A21" s="2">
        <v>46083</v>
      </c>
      <c r="B21" t="s">
        <v>38</v>
      </c>
      <c r="C21" t="s">
        <v>39</v>
      </c>
      <c r="D21" t="s">
        <v>21</v>
      </c>
      <c r="E21" s="4">
        <v>10</v>
      </c>
      <c r="F21" s="4">
        <v>3</v>
      </c>
      <c r="G21" s="4">
        <v>220</v>
      </c>
      <c r="H21" s="3">
        <v>7</v>
      </c>
      <c r="I21" s="3">
        <f t="shared" si="0"/>
        <v>70</v>
      </c>
      <c r="J21" s="3">
        <f t="shared" si="1"/>
        <v>290</v>
      </c>
      <c r="K21" t="s">
        <v>15</v>
      </c>
      <c r="L21" t="s">
        <v>16</v>
      </c>
      <c r="M21" t="s">
        <v>20</v>
      </c>
    </row>
    <row r="22" spans="1:13">
      <c r="A22" s="2">
        <v>46083</v>
      </c>
      <c r="B22" t="s">
        <v>38</v>
      </c>
      <c r="C22" t="s">
        <v>39</v>
      </c>
      <c r="D22" t="s">
        <v>22</v>
      </c>
      <c r="E22" s="4">
        <v>9</v>
      </c>
      <c r="F22" s="4">
        <v>4</v>
      </c>
      <c r="G22" s="4">
        <v>200</v>
      </c>
      <c r="H22" s="3">
        <v>7</v>
      </c>
      <c r="I22" s="3">
        <f t="shared" si="0"/>
        <v>63</v>
      </c>
      <c r="J22" s="3">
        <f t="shared" si="1"/>
        <v>263</v>
      </c>
      <c r="K22" t="s">
        <v>15</v>
      </c>
      <c r="L22" t="s">
        <v>16</v>
      </c>
      <c r="M22" t="s">
        <v>20</v>
      </c>
    </row>
    <row r="23" spans="1:13">
      <c r="A23" s="2">
        <v>46083</v>
      </c>
      <c r="B23" t="s">
        <v>38</v>
      </c>
      <c r="C23" t="s">
        <v>39</v>
      </c>
      <c r="D23" t="s">
        <v>23</v>
      </c>
      <c r="E23" s="4">
        <v>12</v>
      </c>
      <c r="F23" s="4">
        <v>7</v>
      </c>
      <c r="G23" s="4">
        <v>240</v>
      </c>
      <c r="H23" s="3">
        <v>8</v>
      </c>
      <c r="I23" s="3">
        <f t="shared" si="0"/>
        <v>96</v>
      </c>
      <c r="J23" s="3">
        <f t="shared" si="1"/>
        <v>336</v>
      </c>
      <c r="K23" t="s">
        <v>26</v>
      </c>
      <c r="L23" t="s">
        <v>16</v>
      </c>
      <c r="M23" t="s">
        <v>24</v>
      </c>
    </row>
    <row r="24" spans="1:13">
      <c r="A24" s="2">
        <v>46083</v>
      </c>
      <c r="B24" t="s">
        <v>38</v>
      </c>
      <c r="C24" t="s">
        <v>39</v>
      </c>
      <c r="D24" t="s">
        <v>25</v>
      </c>
      <c r="E24" s="4">
        <v>16</v>
      </c>
      <c r="F24" s="4">
        <v>10</v>
      </c>
      <c r="G24" s="4">
        <v>300</v>
      </c>
      <c r="H24" s="3">
        <v>9</v>
      </c>
      <c r="I24" s="3">
        <f t="shared" si="0"/>
        <v>144</v>
      </c>
      <c r="J24" s="3">
        <f t="shared" si="1"/>
        <v>444</v>
      </c>
      <c r="K24" t="s">
        <v>26</v>
      </c>
      <c r="L24" t="s">
        <v>16</v>
      </c>
      <c r="M24" t="s">
        <v>24</v>
      </c>
    </row>
    <row r="25" spans="1:13">
      <c r="A25" s="2">
        <v>46083</v>
      </c>
      <c r="B25" t="s">
        <v>38</v>
      </c>
      <c r="C25" t="s">
        <v>39</v>
      </c>
      <c r="D25" t="s">
        <v>27</v>
      </c>
      <c r="E25" s="4">
        <v>14</v>
      </c>
      <c r="F25" s="4">
        <v>9</v>
      </c>
      <c r="G25" s="4">
        <v>280</v>
      </c>
      <c r="H25" s="3">
        <v>8.5</v>
      </c>
      <c r="I25" s="3">
        <f t="shared" si="0"/>
        <v>119</v>
      </c>
      <c r="J25" s="3">
        <f t="shared" si="1"/>
        <v>399</v>
      </c>
      <c r="K25" t="s">
        <v>26</v>
      </c>
      <c r="L25" t="s">
        <v>16</v>
      </c>
      <c r="M25" t="s">
        <v>24</v>
      </c>
    </row>
    <row r="26" spans="1:13">
      <c r="A26" s="2">
        <v>46083</v>
      </c>
      <c r="B26" t="s">
        <v>38</v>
      </c>
      <c r="C26" t="s">
        <v>39</v>
      </c>
      <c r="D26" t="s">
        <v>29</v>
      </c>
      <c r="E26" s="4">
        <v>11</v>
      </c>
      <c r="F26" s="4">
        <v>7</v>
      </c>
      <c r="G26" s="4">
        <v>230</v>
      </c>
      <c r="H26" s="3">
        <v>7.5</v>
      </c>
      <c r="I26" s="3">
        <f t="shared" si="0"/>
        <v>82.5</v>
      </c>
      <c r="J26" s="3">
        <f t="shared" si="1"/>
        <v>312.5</v>
      </c>
      <c r="K26" t="s">
        <v>15</v>
      </c>
      <c r="L26" t="s">
        <v>16</v>
      </c>
      <c r="M26" t="s">
        <v>20</v>
      </c>
    </row>
    <row r="27" spans="1:13">
      <c r="A27" s="2">
        <v>46083</v>
      </c>
      <c r="B27" t="s">
        <v>38</v>
      </c>
      <c r="C27" t="s">
        <v>39</v>
      </c>
      <c r="D27" t="s">
        <v>30</v>
      </c>
      <c r="E27" s="4">
        <v>13</v>
      </c>
      <c r="F27" s="4">
        <v>8</v>
      </c>
      <c r="G27" s="4">
        <v>250</v>
      </c>
      <c r="H27" s="3">
        <v>8</v>
      </c>
      <c r="I27" s="3">
        <f t="shared" si="0"/>
        <v>104</v>
      </c>
      <c r="J27" s="3">
        <f t="shared" si="1"/>
        <v>354</v>
      </c>
      <c r="K27" t="s">
        <v>26</v>
      </c>
      <c r="L27" t="s">
        <v>16</v>
      </c>
      <c r="M27" t="s">
        <v>17</v>
      </c>
    </row>
    <row r="28" spans="1:13">
      <c r="A28" s="2">
        <v>46083</v>
      </c>
      <c r="B28" t="s">
        <v>38</v>
      </c>
      <c r="C28" t="s">
        <v>39</v>
      </c>
      <c r="D28" t="s">
        <v>31</v>
      </c>
      <c r="E28" s="4">
        <v>18</v>
      </c>
      <c r="F28" s="4">
        <v>11</v>
      </c>
      <c r="G28" s="4">
        <v>340</v>
      </c>
      <c r="H28" s="3">
        <v>9</v>
      </c>
      <c r="I28" s="3">
        <f t="shared" si="0"/>
        <v>162</v>
      </c>
      <c r="J28" s="3">
        <f t="shared" si="1"/>
        <v>502</v>
      </c>
      <c r="K28" t="s">
        <v>26</v>
      </c>
      <c r="L28" t="s">
        <v>16</v>
      </c>
      <c r="M28" t="s">
        <v>17</v>
      </c>
    </row>
    <row r="29" spans="1:13">
      <c r="A29" s="2">
        <v>46083</v>
      </c>
      <c r="B29" t="s">
        <v>38</v>
      </c>
      <c r="C29" t="s">
        <v>39</v>
      </c>
      <c r="D29" t="s">
        <v>32</v>
      </c>
      <c r="E29" s="4">
        <v>24</v>
      </c>
      <c r="F29" s="4">
        <v>14</v>
      </c>
      <c r="G29" s="4">
        <v>420</v>
      </c>
      <c r="H29" s="3">
        <v>10</v>
      </c>
      <c r="I29" s="3">
        <f t="shared" si="0"/>
        <v>240</v>
      </c>
      <c r="J29" s="3">
        <f t="shared" si="1"/>
        <v>660</v>
      </c>
      <c r="K29" t="s">
        <v>40</v>
      </c>
      <c r="L29" t="s">
        <v>28</v>
      </c>
      <c r="M29" t="s">
        <v>24</v>
      </c>
    </row>
    <row r="30" spans="1:13">
      <c r="A30" s="2">
        <v>46083</v>
      </c>
      <c r="B30" t="s">
        <v>38</v>
      </c>
      <c r="C30" t="s">
        <v>39</v>
      </c>
      <c r="D30" t="s">
        <v>33</v>
      </c>
      <c r="E30" s="4">
        <v>20</v>
      </c>
      <c r="F30" s="4">
        <v>12</v>
      </c>
      <c r="G30" s="4">
        <v>360</v>
      </c>
      <c r="H30" s="3">
        <v>9.5</v>
      </c>
      <c r="I30" s="3">
        <f t="shared" si="0"/>
        <v>190</v>
      </c>
      <c r="J30" s="3">
        <f t="shared" si="1"/>
        <v>550</v>
      </c>
      <c r="K30" t="s">
        <v>40</v>
      </c>
      <c r="L30" t="s">
        <v>28</v>
      </c>
      <c r="M30" t="s">
        <v>24</v>
      </c>
    </row>
    <row r="31" spans="1:13">
      <c r="A31" s="2">
        <v>46083</v>
      </c>
      <c r="B31" t="s">
        <v>38</v>
      </c>
      <c r="C31" t="s">
        <v>39</v>
      </c>
      <c r="D31" t="s">
        <v>34</v>
      </c>
      <c r="E31" s="4">
        <v>15</v>
      </c>
      <c r="F31" s="4">
        <v>8</v>
      </c>
      <c r="G31" s="4">
        <v>280</v>
      </c>
      <c r="H31" s="3">
        <v>8.5</v>
      </c>
      <c r="I31" s="3">
        <f t="shared" si="0"/>
        <v>127.5</v>
      </c>
      <c r="J31" s="3">
        <f t="shared" si="1"/>
        <v>407.5</v>
      </c>
      <c r="K31" t="s">
        <v>26</v>
      </c>
      <c r="L31" t="s">
        <v>16</v>
      </c>
      <c r="M31" t="s">
        <v>20</v>
      </c>
    </row>
    <row r="32" spans="1:13">
      <c r="A32" s="2">
        <v>46083</v>
      </c>
      <c r="B32" t="s">
        <v>38</v>
      </c>
      <c r="C32" t="s">
        <v>39</v>
      </c>
      <c r="D32" t="s">
        <v>36</v>
      </c>
      <c r="E32" s="4">
        <v>11</v>
      </c>
      <c r="F32" s="4">
        <v>5</v>
      </c>
      <c r="G32" s="4">
        <v>210</v>
      </c>
      <c r="H32" s="3">
        <v>7.5</v>
      </c>
      <c r="I32" s="3">
        <f t="shared" si="0"/>
        <v>82.5</v>
      </c>
      <c r="J32" s="3">
        <f t="shared" si="1"/>
        <v>292.5</v>
      </c>
      <c r="K32" t="s">
        <v>15</v>
      </c>
      <c r="L32" t="s">
        <v>16</v>
      </c>
      <c r="M32" t="s">
        <v>35</v>
      </c>
    </row>
    <row r="33" spans="1:13">
      <c r="A33" s="2">
        <v>46083</v>
      </c>
      <c r="B33" t="s">
        <v>38</v>
      </c>
      <c r="C33" t="s">
        <v>39</v>
      </c>
      <c r="D33" t="s">
        <v>37</v>
      </c>
      <c r="E33" s="4">
        <v>7</v>
      </c>
      <c r="F33" s="4">
        <v>3</v>
      </c>
      <c r="G33" s="4">
        <v>150</v>
      </c>
      <c r="H33" s="3">
        <v>7</v>
      </c>
      <c r="I33" s="3">
        <f t="shared" si="0"/>
        <v>49</v>
      </c>
      <c r="J33" s="3">
        <f t="shared" si="1"/>
        <v>199</v>
      </c>
      <c r="K33" t="s">
        <v>15</v>
      </c>
      <c r="L33" t="s">
        <v>16</v>
      </c>
      <c r="M33" t="s">
        <v>35</v>
      </c>
    </row>
    <row r="34" spans="1:13">
      <c r="A34" s="2">
        <v>46084</v>
      </c>
      <c r="B34" t="s">
        <v>41</v>
      </c>
      <c r="C34" t="s">
        <v>39</v>
      </c>
      <c r="D34" t="s">
        <v>14</v>
      </c>
      <c r="E34" s="4">
        <v>8</v>
      </c>
      <c r="F34" s="4">
        <v>2</v>
      </c>
      <c r="G34" s="4">
        <v>180</v>
      </c>
      <c r="H34" s="3">
        <v>6</v>
      </c>
      <c r="I34" s="3">
        <f t="shared" si="0"/>
        <v>48</v>
      </c>
      <c r="J34" s="3">
        <f t="shared" si="1"/>
        <v>228</v>
      </c>
      <c r="K34" t="s">
        <v>15</v>
      </c>
      <c r="L34" t="s">
        <v>16</v>
      </c>
      <c r="M34" t="s">
        <v>17</v>
      </c>
    </row>
    <row r="35" spans="1:13">
      <c r="A35" s="2">
        <v>46084</v>
      </c>
      <c r="B35" t="s">
        <v>41</v>
      </c>
      <c r="C35" t="s">
        <v>39</v>
      </c>
      <c r="D35" t="s">
        <v>18</v>
      </c>
      <c r="E35" s="4">
        <v>12</v>
      </c>
      <c r="F35" s="4">
        <v>3</v>
      </c>
      <c r="G35" s="4">
        <v>260</v>
      </c>
      <c r="H35" s="3">
        <v>6.5</v>
      </c>
      <c r="I35" s="3">
        <f t="shared" si="0"/>
        <v>78</v>
      </c>
      <c r="J35" s="3">
        <f t="shared" si="1"/>
        <v>338</v>
      </c>
      <c r="K35" t="s">
        <v>15</v>
      </c>
      <c r="L35" t="s">
        <v>16</v>
      </c>
      <c r="M35" t="s">
        <v>17</v>
      </c>
    </row>
    <row r="36" spans="1:13">
      <c r="A36" s="2">
        <v>46084</v>
      </c>
      <c r="B36" t="s">
        <v>41</v>
      </c>
      <c r="C36" t="s">
        <v>39</v>
      </c>
      <c r="D36" t="s">
        <v>19</v>
      </c>
      <c r="E36" s="4">
        <v>15</v>
      </c>
      <c r="F36" s="4">
        <v>4</v>
      </c>
      <c r="G36" s="4">
        <v>310</v>
      </c>
      <c r="H36" s="3">
        <v>7</v>
      </c>
      <c r="I36" s="3">
        <f t="shared" si="0"/>
        <v>105</v>
      </c>
      <c r="J36" s="3">
        <f t="shared" si="1"/>
        <v>415</v>
      </c>
      <c r="K36" t="s">
        <v>15</v>
      </c>
      <c r="L36" t="s">
        <v>16</v>
      </c>
      <c r="M36" t="s">
        <v>17</v>
      </c>
    </row>
    <row r="37" spans="1:13">
      <c r="A37" s="2">
        <v>46084</v>
      </c>
      <c r="B37" t="s">
        <v>41</v>
      </c>
      <c r="C37" t="s">
        <v>39</v>
      </c>
      <c r="D37" t="s">
        <v>21</v>
      </c>
      <c r="E37" s="4">
        <v>10</v>
      </c>
      <c r="F37" s="4">
        <v>3</v>
      </c>
      <c r="G37" s="4">
        <v>220</v>
      </c>
      <c r="H37" s="3">
        <v>7</v>
      </c>
      <c r="I37" s="3">
        <f t="shared" si="0"/>
        <v>70</v>
      </c>
      <c r="J37" s="3">
        <f t="shared" si="1"/>
        <v>290</v>
      </c>
      <c r="K37" t="s">
        <v>15</v>
      </c>
      <c r="L37" t="s">
        <v>16</v>
      </c>
      <c r="M37" t="s">
        <v>20</v>
      </c>
    </row>
    <row r="38" spans="1:13">
      <c r="A38" s="2">
        <v>46084</v>
      </c>
      <c r="B38" t="s">
        <v>41</v>
      </c>
      <c r="C38" t="s">
        <v>39</v>
      </c>
      <c r="D38" t="s">
        <v>22</v>
      </c>
      <c r="E38" s="4">
        <v>9</v>
      </c>
      <c r="F38" s="4">
        <v>4</v>
      </c>
      <c r="G38" s="4">
        <v>200</v>
      </c>
      <c r="H38" s="3">
        <v>7</v>
      </c>
      <c r="I38" s="3">
        <f t="shared" si="0"/>
        <v>63</v>
      </c>
      <c r="J38" s="3">
        <f t="shared" si="1"/>
        <v>263</v>
      </c>
      <c r="K38" t="s">
        <v>15</v>
      </c>
      <c r="L38" t="s">
        <v>16</v>
      </c>
      <c r="M38" t="s">
        <v>20</v>
      </c>
    </row>
    <row r="39" spans="1:13">
      <c r="A39" s="2">
        <v>46084</v>
      </c>
      <c r="B39" t="s">
        <v>41</v>
      </c>
      <c r="C39" t="s">
        <v>39</v>
      </c>
      <c r="D39" t="s">
        <v>23</v>
      </c>
      <c r="E39" s="4">
        <v>12</v>
      </c>
      <c r="F39" s="4">
        <v>7</v>
      </c>
      <c r="G39" s="4">
        <v>240</v>
      </c>
      <c r="H39" s="3">
        <v>8</v>
      </c>
      <c r="I39" s="3">
        <f t="shared" si="0"/>
        <v>96</v>
      </c>
      <c r="J39" s="3">
        <f t="shared" si="1"/>
        <v>336</v>
      </c>
      <c r="K39" t="s">
        <v>26</v>
      </c>
      <c r="L39" t="s">
        <v>16</v>
      </c>
      <c r="M39" t="s">
        <v>24</v>
      </c>
    </row>
    <row r="40" spans="1:13">
      <c r="A40" s="2">
        <v>46084</v>
      </c>
      <c r="B40" t="s">
        <v>41</v>
      </c>
      <c r="C40" t="s">
        <v>39</v>
      </c>
      <c r="D40" t="s">
        <v>25</v>
      </c>
      <c r="E40" s="4">
        <v>16</v>
      </c>
      <c r="F40" s="4">
        <v>10</v>
      </c>
      <c r="G40" s="4">
        <v>300</v>
      </c>
      <c r="H40" s="3">
        <v>9</v>
      </c>
      <c r="I40" s="3">
        <f t="shared" si="0"/>
        <v>144</v>
      </c>
      <c r="J40" s="3">
        <f t="shared" si="1"/>
        <v>444</v>
      </c>
      <c r="K40" t="s">
        <v>26</v>
      </c>
      <c r="L40" t="s">
        <v>16</v>
      </c>
      <c r="M40" t="s">
        <v>24</v>
      </c>
    </row>
    <row r="41" spans="1:13">
      <c r="A41" s="2">
        <v>46084</v>
      </c>
      <c r="B41" t="s">
        <v>41</v>
      </c>
      <c r="C41" t="s">
        <v>39</v>
      </c>
      <c r="D41" t="s">
        <v>27</v>
      </c>
      <c r="E41" s="4">
        <v>14</v>
      </c>
      <c r="F41" s="4">
        <v>9</v>
      </c>
      <c r="G41" s="4">
        <v>280</v>
      </c>
      <c r="H41" s="3">
        <v>8.5</v>
      </c>
      <c r="I41" s="3">
        <f t="shared" si="0"/>
        <v>119</v>
      </c>
      <c r="J41" s="3">
        <f t="shared" si="1"/>
        <v>399</v>
      </c>
      <c r="K41" t="s">
        <v>26</v>
      </c>
      <c r="L41" t="s">
        <v>16</v>
      </c>
      <c r="M41" t="s">
        <v>24</v>
      </c>
    </row>
    <row r="42" spans="1:13">
      <c r="A42" s="2">
        <v>46084</v>
      </c>
      <c r="B42" t="s">
        <v>41</v>
      </c>
      <c r="C42" t="s">
        <v>39</v>
      </c>
      <c r="D42" t="s">
        <v>29</v>
      </c>
      <c r="E42" s="4">
        <v>11</v>
      </c>
      <c r="F42" s="4">
        <v>7</v>
      </c>
      <c r="G42" s="4">
        <v>230</v>
      </c>
      <c r="H42" s="3">
        <v>7.5</v>
      </c>
      <c r="I42" s="3">
        <f t="shared" si="0"/>
        <v>82.5</v>
      </c>
      <c r="J42" s="3">
        <f t="shared" si="1"/>
        <v>312.5</v>
      </c>
      <c r="K42" t="s">
        <v>15</v>
      </c>
      <c r="L42" t="s">
        <v>16</v>
      </c>
      <c r="M42" t="s">
        <v>20</v>
      </c>
    </row>
    <row r="43" spans="1:13">
      <c r="A43" s="2">
        <v>46084</v>
      </c>
      <c r="B43" t="s">
        <v>41</v>
      </c>
      <c r="C43" t="s">
        <v>39</v>
      </c>
      <c r="D43" t="s">
        <v>30</v>
      </c>
      <c r="E43" s="4">
        <v>13</v>
      </c>
      <c r="F43" s="4">
        <v>8</v>
      </c>
      <c r="G43" s="4">
        <v>250</v>
      </c>
      <c r="H43" s="3">
        <v>8</v>
      </c>
      <c r="I43" s="3">
        <f t="shared" si="0"/>
        <v>104</v>
      </c>
      <c r="J43" s="3">
        <f t="shared" si="1"/>
        <v>354</v>
      </c>
      <c r="K43" t="s">
        <v>26</v>
      </c>
      <c r="L43" t="s">
        <v>16</v>
      </c>
      <c r="M43" t="s">
        <v>17</v>
      </c>
    </row>
    <row r="44" spans="1:13">
      <c r="A44" s="2">
        <v>46084</v>
      </c>
      <c r="B44" t="s">
        <v>41</v>
      </c>
      <c r="C44" t="s">
        <v>39</v>
      </c>
      <c r="D44" t="s">
        <v>31</v>
      </c>
      <c r="E44" s="4">
        <v>18</v>
      </c>
      <c r="F44" s="4">
        <v>11</v>
      </c>
      <c r="G44" s="4">
        <v>340</v>
      </c>
      <c r="H44" s="3">
        <v>9</v>
      </c>
      <c r="I44" s="3">
        <f t="shared" si="0"/>
        <v>162</v>
      </c>
      <c r="J44" s="3">
        <f t="shared" si="1"/>
        <v>502</v>
      </c>
      <c r="K44" t="s">
        <v>26</v>
      </c>
      <c r="L44" t="s">
        <v>16</v>
      </c>
      <c r="M44" t="s">
        <v>17</v>
      </c>
    </row>
    <row r="45" spans="1:13">
      <c r="A45" s="2">
        <v>46084</v>
      </c>
      <c r="B45" t="s">
        <v>41</v>
      </c>
      <c r="C45" t="s">
        <v>39</v>
      </c>
      <c r="D45" t="s">
        <v>32</v>
      </c>
      <c r="E45" s="4">
        <v>24</v>
      </c>
      <c r="F45" s="4">
        <v>14</v>
      </c>
      <c r="G45" s="4">
        <v>420</v>
      </c>
      <c r="H45" s="3">
        <v>10</v>
      </c>
      <c r="I45" s="3">
        <f t="shared" si="0"/>
        <v>240</v>
      </c>
      <c r="J45" s="3">
        <f t="shared" si="1"/>
        <v>660</v>
      </c>
      <c r="K45" t="s">
        <v>40</v>
      </c>
      <c r="L45" t="s">
        <v>28</v>
      </c>
      <c r="M45" t="s">
        <v>24</v>
      </c>
    </row>
    <row r="46" spans="1:13">
      <c r="A46" s="2">
        <v>46084</v>
      </c>
      <c r="B46" t="s">
        <v>41</v>
      </c>
      <c r="C46" t="s">
        <v>39</v>
      </c>
      <c r="D46" t="s">
        <v>33</v>
      </c>
      <c r="E46" s="4">
        <v>20</v>
      </c>
      <c r="F46" s="4">
        <v>12</v>
      </c>
      <c r="G46" s="4">
        <v>360</v>
      </c>
      <c r="H46" s="3">
        <v>9.5</v>
      </c>
      <c r="I46" s="3">
        <f t="shared" si="0"/>
        <v>190</v>
      </c>
      <c r="J46" s="3">
        <f t="shared" si="1"/>
        <v>550</v>
      </c>
      <c r="K46" t="s">
        <v>40</v>
      </c>
      <c r="L46" t="s">
        <v>28</v>
      </c>
      <c r="M46" t="s">
        <v>24</v>
      </c>
    </row>
    <row r="47" spans="1:13">
      <c r="A47" s="2">
        <v>46084</v>
      </c>
      <c r="B47" t="s">
        <v>41</v>
      </c>
      <c r="C47" t="s">
        <v>39</v>
      </c>
      <c r="D47" t="s">
        <v>34</v>
      </c>
      <c r="E47" s="4">
        <v>15</v>
      </c>
      <c r="F47" s="4">
        <v>8</v>
      </c>
      <c r="G47" s="4">
        <v>280</v>
      </c>
      <c r="H47" s="3">
        <v>8.5</v>
      </c>
      <c r="I47" s="3">
        <f t="shared" si="0"/>
        <v>127.5</v>
      </c>
      <c r="J47" s="3">
        <f t="shared" si="1"/>
        <v>407.5</v>
      </c>
      <c r="K47" t="s">
        <v>26</v>
      </c>
      <c r="L47" t="s">
        <v>16</v>
      </c>
      <c r="M47" t="s">
        <v>20</v>
      </c>
    </row>
    <row r="48" spans="1:13">
      <c r="A48" s="2">
        <v>46084</v>
      </c>
      <c r="B48" t="s">
        <v>41</v>
      </c>
      <c r="C48" t="s">
        <v>39</v>
      </c>
      <c r="D48" t="s">
        <v>36</v>
      </c>
      <c r="E48" s="4">
        <v>11</v>
      </c>
      <c r="F48" s="4">
        <v>5</v>
      </c>
      <c r="G48" s="4">
        <v>210</v>
      </c>
      <c r="H48" s="3">
        <v>7.5</v>
      </c>
      <c r="I48" s="3">
        <f t="shared" si="0"/>
        <v>82.5</v>
      </c>
      <c r="J48" s="3">
        <f t="shared" si="1"/>
        <v>292.5</v>
      </c>
      <c r="K48" t="s">
        <v>15</v>
      </c>
      <c r="L48" t="s">
        <v>16</v>
      </c>
      <c r="M48" t="s">
        <v>35</v>
      </c>
    </row>
    <row r="49" spans="1:13">
      <c r="A49" s="2">
        <v>46084</v>
      </c>
      <c r="B49" t="s">
        <v>41</v>
      </c>
      <c r="C49" t="s">
        <v>39</v>
      </c>
      <c r="D49" t="s">
        <v>37</v>
      </c>
      <c r="E49" s="4">
        <v>7</v>
      </c>
      <c r="F49" s="4">
        <v>3</v>
      </c>
      <c r="G49" s="4">
        <v>150</v>
      </c>
      <c r="H49" s="3">
        <v>7</v>
      </c>
      <c r="I49" s="3">
        <f t="shared" si="0"/>
        <v>49</v>
      </c>
      <c r="J49" s="3">
        <f t="shared" si="1"/>
        <v>199</v>
      </c>
      <c r="K49" t="s">
        <v>15</v>
      </c>
      <c r="L49" t="s">
        <v>16</v>
      </c>
      <c r="M49" t="s">
        <v>35</v>
      </c>
    </row>
    <row r="50" spans="1:13">
      <c r="A50" s="2">
        <v>46085</v>
      </c>
      <c r="B50" t="s">
        <v>42</v>
      </c>
      <c r="C50" t="s">
        <v>39</v>
      </c>
      <c r="D50" t="s">
        <v>14</v>
      </c>
      <c r="E50" s="4">
        <v>8</v>
      </c>
      <c r="F50" s="4">
        <v>2</v>
      </c>
      <c r="G50" s="4">
        <v>180</v>
      </c>
      <c r="H50" s="3">
        <v>6</v>
      </c>
      <c r="I50" s="3">
        <f t="shared" si="0"/>
        <v>48</v>
      </c>
      <c r="J50" s="3">
        <f t="shared" si="1"/>
        <v>228</v>
      </c>
      <c r="K50" t="s">
        <v>15</v>
      </c>
      <c r="L50" t="s">
        <v>16</v>
      </c>
      <c r="M50" t="s">
        <v>17</v>
      </c>
    </row>
    <row r="51" spans="1:13">
      <c r="A51" s="2">
        <v>46085</v>
      </c>
      <c r="B51" t="s">
        <v>42</v>
      </c>
      <c r="C51" t="s">
        <v>39</v>
      </c>
      <c r="D51" t="s">
        <v>18</v>
      </c>
      <c r="E51" s="4">
        <v>12</v>
      </c>
      <c r="F51" s="4">
        <v>3</v>
      </c>
      <c r="G51" s="4">
        <v>260</v>
      </c>
      <c r="H51" s="3">
        <v>6.5</v>
      </c>
      <c r="I51" s="3">
        <f t="shared" si="0"/>
        <v>78</v>
      </c>
      <c r="J51" s="3">
        <f t="shared" si="1"/>
        <v>338</v>
      </c>
      <c r="K51" t="s">
        <v>15</v>
      </c>
      <c r="L51" t="s">
        <v>16</v>
      </c>
      <c r="M51" t="s">
        <v>17</v>
      </c>
    </row>
    <row r="52" spans="1:13">
      <c r="A52" s="2">
        <v>46085</v>
      </c>
      <c r="B52" t="s">
        <v>42</v>
      </c>
      <c r="C52" t="s">
        <v>39</v>
      </c>
      <c r="D52" t="s">
        <v>19</v>
      </c>
      <c r="E52" s="4">
        <v>15</v>
      </c>
      <c r="F52" s="4">
        <v>4</v>
      </c>
      <c r="G52" s="4">
        <v>310</v>
      </c>
      <c r="H52" s="3">
        <v>7</v>
      </c>
      <c r="I52" s="3">
        <f t="shared" si="0"/>
        <v>105</v>
      </c>
      <c r="J52" s="3">
        <f t="shared" si="1"/>
        <v>415</v>
      </c>
      <c r="K52" t="s">
        <v>15</v>
      </c>
      <c r="L52" t="s">
        <v>16</v>
      </c>
      <c r="M52" t="s">
        <v>17</v>
      </c>
    </row>
    <row r="53" spans="1:13">
      <c r="A53" s="2">
        <v>46085</v>
      </c>
      <c r="B53" t="s">
        <v>42</v>
      </c>
      <c r="C53" t="s">
        <v>39</v>
      </c>
      <c r="D53" t="s">
        <v>21</v>
      </c>
      <c r="E53" s="4">
        <v>10</v>
      </c>
      <c r="F53" s="4">
        <v>3</v>
      </c>
      <c r="G53" s="4">
        <v>220</v>
      </c>
      <c r="H53" s="3">
        <v>7</v>
      </c>
      <c r="I53" s="3">
        <f t="shared" si="0"/>
        <v>70</v>
      </c>
      <c r="J53" s="3">
        <f t="shared" si="1"/>
        <v>290</v>
      </c>
      <c r="K53" t="s">
        <v>15</v>
      </c>
      <c r="L53" t="s">
        <v>16</v>
      </c>
      <c r="M53" t="s">
        <v>20</v>
      </c>
    </row>
    <row r="54" spans="1:13">
      <c r="A54" s="2">
        <v>46085</v>
      </c>
      <c r="B54" t="s">
        <v>42</v>
      </c>
      <c r="C54" t="s">
        <v>39</v>
      </c>
      <c r="D54" t="s">
        <v>22</v>
      </c>
      <c r="E54" s="4">
        <v>9</v>
      </c>
      <c r="F54" s="4">
        <v>4</v>
      </c>
      <c r="G54" s="4">
        <v>200</v>
      </c>
      <c r="H54" s="3">
        <v>7</v>
      </c>
      <c r="I54" s="3">
        <f t="shared" si="0"/>
        <v>63</v>
      </c>
      <c r="J54" s="3">
        <f t="shared" si="1"/>
        <v>263</v>
      </c>
      <c r="K54" t="s">
        <v>15</v>
      </c>
      <c r="L54" t="s">
        <v>16</v>
      </c>
      <c r="M54" t="s">
        <v>20</v>
      </c>
    </row>
    <row r="55" spans="1:13">
      <c r="A55" s="2">
        <v>46085</v>
      </c>
      <c r="B55" t="s">
        <v>42</v>
      </c>
      <c r="C55" t="s">
        <v>39</v>
      </c>
      <c r="D55" t="s">
        <v>23</v>
      </c>
      <c r="E55" s="4">
        <v>12</v>
      </c>
      <c r="F55" s="4">
        <v>7</v>
      </c>
      <c r="G55" s="4">
        <v>240</v>
      </c>
      <c r="H55" s="3">
        <v>8</v>
      </c>
      <c r="I55" s="3">
        <f t="shared" si="0"/>
        <v>96</v>
      </c>
      <c r="J55" s="3">
        <f t="shared" si="1"/>
        <v>336</v>
      </c>
      <c r="K55" t="s">
        <v>26</v>
      </c>
      <c r="L55" t="s">
        <v>16</v>
      </c>
      <c r="M55" t="s">
        <v>24</v>
      </c>
    </row>
    <row r="56" spans="1:13">
      <c r="A56" s="2">
        <v>46085</v>
      </c>
      <c r="B56" t="s">
        <v>42</v>
      </c>
      <c r="C56" t="s">
        <v>39</v>
      </c>
      <c r="D56" t="s">
        <v>25</v>
      </c>
      <c r="E56" s="4">
        <v>16</v>
      </c>
      <c r="F56" s="4">
        <v>10</v>
      </c>
      <c r="G56" s="4">
        <v>300</v>
      </c>
      <c r="H56" s="3">
        <v>9</v>
      </c>
      <c r="I56" s="3">
        <f t="shared" si="0"/>
        <v>144</v>
      </c>
      <c r="J56" s="3">
        <f t="shared" si="1"/>
        <v>444</v>
      </c>
      <c r="K56" t="s">
        <v>26</v>
      </c>
      <c r="L56" t="s">
        <v>16</v>
      </c>
      <c r="M56" t="s">
        <v>24</v>
      </c>
    </row>
    <row r="57" spans="1:13">
      <c r="A57" s="2">
        <v>46085</v>
      </c>
      <c r="B57" t="s">
        <v>42</v>
      </c>
      <c r="C57" t="s">
        <v>39</v>
      </c>
      <c r="D57" t="s">
        <v>27</v>
      </c>
      <c r="E57" s="4">
        <v>14</v>
      </c>
      <c r="F57" s="4">
        <v>9</v>
      </c>
      <c r="G57" s="4">
        <v>280</v>
      </c>
      <c r="H57" s="3">
        <v>8.5</v>
      </c>
      <c r="I57" s="3">
        <f t="shared" si="0"/>
        <v>119</v>
      </c>
      <c r="J57" s="3">
        <f t="shared" si="1"/>
        <v>399</v>
      </c>
      <c r="K57" t="s">
        <v>26</v>
      </c>
      <c r="L57" t="s">
        <v>16</v>
      </c>
      <c r="M57" t="s">
        <v>24</v>
      </c>
    </row>
    <row r="58" spans="1:13">
      <c r="A58" s="2">
        <v>46085</v>
      </c>
      <c r="B58" t="s">
        <v>42</v>
      </c>
      <c r="C58" t="s">
        <v>39</v>
      </c>
      <c r="D58" t="s">
        <v>29</v>
      </c>
      <c r="E58" s="4">
        <v>11</v>
      </c>
      <c r="F58" s="4">
        <v>7</v>
      </c>
      <c r="G58" s="4">
        <v>230</v>
      </c>
      <c r="H58" s="3">
        <v>7.5</v>
      </c>
      <c r="I58" s="3">
        <f t="shared" si="0"/>
        <v>82.5</v>
      </c>
      <c r="J58" s="3">
        <f t="shared" si="1"/>
        <v>312.5</v>
      </c>
      <c r="K58" t="s">
        <v>15</v>
      </c>
      <c r="L58" t="s">
        <v>16</v>
      </c>
      <c r="M58" t="s">
        <v>20</v>
      </c>
    </row>
    <row r="59" spans="1:13">
      <c r="A59" s="2">
        <v>46085</v>
      </c>
      <c r="B59" t="s">
        <v>42</v>
      </c>
      <c r="C59" t="s">
        <v>39</v>
      </c>
      <c r="D59" t="s">
        <v>30</v>
      </c>
      <c r="E59" s="4">
        <v>13</v>
      </c>
      <c r="F59" s="4">
        <v>8</v>
      </c>
      <c r="G59" s="4">
        <v>250</v>
      </c>
      <c r="H59" s="3">
        <v>8</v>
      </c>
      <c r="I59" s="3">
        <f t="shared" si="0"/>
        <v>104</v>
      </c>
      <c r="J59" s="3">
        <f t="shared" si="1"/>
        <v>354</v>
      </c>
      <c r="K59" t="s">
        <v>26</v>
      </c>
      <c r="L59" t="s">
        <v>16</v>
      </c>
      <c r="M59" t="s">
        <v>17</v>
      </c>
    </row>
    <row r="60" spans="1:13">
      <c r="A60" s="2">
        <v>46085</v>
      </c>
      <c r="B60" t="s">
        <v>42</v>
      </c>
      <c r="C60" t="s">
        <v>39</v>
      </c>
      <c r="D60" t="s">
        <v>31</v>
      </c>
      <c r="E60" s="4">
        <v>18</v>
      </c>
      <c r="F60" s="4">
        <v>11</v>
      </c>
      <c r="G60" s="4">
        <v>340</v>
      </c>
      <c r="H60" s="3">
        <v>9</v>
      </c>
      <c r="I60" s="3">
        <f t="shared" si="0"/>
        <v>162</v>
      </c>
      <c r="J60" s="3">
        <f t="shared" si="1"/>
        <v>502</v>
      </c>
      <c r="K60" t="s">
        <v>26</v>
      </c>
      <c r="L60" t="s">
        <v>16</v>
      </c>
      <c r="M60" t="s">
        <v>17</v>
      </c>
    </row>
    <row r="61" spans="1:13">
      <c r="A61" s="2">
        <v>46085</v>
      </c>
      <c r="B61" t="s">
        <v>42</v>
      </c>
      <c r="C61" t="s">
        <v>39</v>
      </c>
      <c r="D61" t="s">
        <v>32</v>
      </c>
      <c r="E61" s="4">
        <v>24</v>
      </c>
      <c r="F61" s="4">
        <v>14</v>
      </c>
      <c r="G61" s="4">
        <v>420</v>
      </c>
      <c r="H61" s="3">
        <v>10</v>
      </c>
      <c r="I61" s="3">
        <f t="shared" si="0"/>
        <v>240</v>
      </c>
      <c r="J61" s="3">
        <f t="shared" si="1"/>
        <v>660</v>
      </c>
      <c r="K61" t="s">
        <v>40</v>
      </c>
      <c r="L61" t="s">
        <v>28</v>
      </c>
      <c r="M61" t="s">
        <v>24</v>
      </c>
    </row>
    <row r="62" spans="1:13">
      <c r="A62" s="2">
        <v>46085</v>
      </c>
      <c r="B62" t="s">
        <v>42</v>
      </c>
      <c r="C62" t="s">
        <v>39</v>
      </c>
      <c r="D62" t="s">
        <v>33</v>
      </c>
      <c r="E62" s="4">
        <v>20</v>
      </c>
      <c r="F62" s="4">
        <v>12</v>
      </c>
      <c r="G62" s="4">
        <v>360</v>
      </c>
      <c r="H62" s="3">
        <v>9.5</v>
      </c>
      <c r="I62" s="3">
        <f t="shared" si="0"/>
        <v>190</v>
      </c>
      <c r="J62" s="3">
        <f t="shared" si="1"/>
        <v>550</v>
      </c>
      <c r="K62" t="s">
        <v>40</v>
      </c>
      <c r="L62" t="s">
        <v>28</v>
      </c>
      <c r="M62" t="s">
        <v>24</v>
      </c>
    </row>
    <row r="63" spans="1:13">
      <c r="A63" s="2">
        <v>46085</v>
      </c>
      <c r="B63" t="s">
        <v>42</v>
      </c>
      <c r="C63" t="s">
        <v>39</v>
      </c>
      <c r="D63" t="s">
        <v>34</v>
      </c>
      <c r="E63" s="4">
        <v>15</v>
      </c>
      <c r="F63" s="4">
        <v>8</v>
      </c>
      <c r="G63" s="4">
        <v>280</v>
      </c>
      <c r="H63" s="3">
        <v>8.5</v>
      </c>
      <c r="I63" s="3">
        <f t="shared" si="0"/>
        <v>127.5</v>
      </c>
      <c r="J63" s="3">
        <f t="shared" si="1"/>
        <v>407.5</v>
      </c>
      <c r="K63" t="s">
        <v>26</v>
      </c>
      <c r="L63" t="s">
        <v>16</v>
      </c>
      <c r="M63" t="s">
        <v>20</v>
      </c>
    </row>
    <row r="64" spans="1:13">
      <c r="A64" s="2">
        <v>46085</v>
      </c>
      <c r="B64" t="s">
        <v>42</v>
      </c>
      <c r="C64" t="s">
        <v>39</v>
      </c>
      <c r="D64" t="s">
        <v>36</v>
      </c>
      <c r="E64" s="4">
        <v>11</v>
      </c>
      <c r="F64" s="4">
        <v>5</v>
      </c>
      <c r="G64" s="4">
        <v>210</v>
      </c>
      <c r="H64" s="3">
        <v>7.5</v>
      </c>
      <c r="I64" s="3">
        <f t="shared" si="0"/>
        <v>82.5</v>
      </c>
      <c r="J64" s="3">
        <f t="shared" si="1"/>
        <v>292.5</v>
      </c>
      <c r="K64" t="s">
        <v>15</v>
      </c>
      <c r="L64" t="s">
        <v>16</v>
      </c>
      <c r="M64" t="s">
        <v>35</v>
      </c>
    </row>
    <row r="65" spans="1:13">
      <c r="A65" s="2">
        <v>46085</v>
      </c>
      <c r="B65" t="s">
        <v>42</v>
      </c>
      <c r="C65" t="s">
        <v>39</v>
      </c>
      <c r="D65" t="s">
        <v>37</v>
      </c>
      <c r="E65" s="4">
        <v>7</v>
      </c>
      <c r="F65" s="4">
        <v>3</v>
      </c>
      <c r="G65" s="4">
        <v>150</v>
      </c>
      <c r="H65" s="3">
        <v>7</v>
      </c>
      <c r="I65" s="3">
        <f t="shared" si="0"/>
        <v>49</v>
      </c>
      <c r="J65" s="3">
        <f t="shared" si="1"/>
        <v>199</v>
      </c>
      <c r="K65" t="s">
        <v>15</v>
      </c>
      <c r="L65" t="s">
        <v>16</v>
      </c>
      <c r="M65" t="s">
        <v>35</v>
      </c>
    </row>
    <row r="66" spans="1:13">
      <c r="A66" s="2">
        <v>46086</v>
      </c>
      <c r="B66" t="s">
        <v>43</v>
      </c>
      <c r="C66" t="s">
        <v>39</v>
      </c>
      <c r="D66" t="s">
        <v>14</v>
      </c>
      <c r="E66" s="4">
        <v>8</v>
      </c>
      <c r="F66" s="4">
        <v>2</v>
      </c>
      <c r="G66" s="4">
        <v>180</v>
      </c>
      <c r="H66" s="3">
        <v>6</v>
      </c>
      <c r="I66" s="3">
        <f t="shared" ref="I66:I129" si="2">E66*H66</f>
        <v>48</v>
      </c>
      <c r="J66" s="3">
        <f t="shared" ref="J66:J129" si="3">G66+I66</f>
        <v>228</v>
      </c>
      <c r="K66" t="s">
        <v>15</v>
      </c>
      <c r="L66" t="s">
        <v>16</v>
      </c>
      <c r="M66" t="s">
        <v>17</v>
      </c>
    </row>
    <row r="67" spans="1:13">
      <c r="A67" s="2">
        <v>46086</v>
      </c>
      <c r="B67" t="s">
        <v>43</v>
      </c>
      <c r="C67" t="s">
        <v>39</v>
      </c>
      <c r="D67" t="s">
        <v>18</v>
      </c>
      <c r="E67" s="4">
        <v>12</v>
      </c>
      <c r="F67" s="4">
        <v>3</v>
      </c>
      <c r="G67" s="4">
        <v>260</v>
      </c>
      <c r="H67" s="3">
        <v>6.5</v>
      </c>
      <c r="I67" s="3">
        <f t="shared" si="2"/>
        <v>78</v>
      </c>
      <c r="J67" s="3">
        <f t="shared" si="3"/>
        <v>338</v>
      </c>
      <c r="K67" t="s">
        <v>15</v>
      </c>
      <c r="L67" t="s">
        <v>16</v>
      </c>
      <c r="M67" t="s">
        <v>17</v>
      </c>
    </row>
    <row r="68" spans="1:13">
      <c r="A68" s="2">
        <v>46086</v>
      </c>
      <c r="B68" t="s">
        <v>43</v>
      </c>
      <c r="C68" t="s">
        <v>39</v>
      </c>
      <c r="D68" t="s">
        <v>19</v>
      </c>
      <c r="E68" s="4">
        <v>15</v>
      </c>
      <c r="F68" s="4">
        <v>4</v>
      </c>
      <c r="G68" s="4">
        <v>310</v>
      </c>
      <c r="H68" s="3">
        <v>7</v>
      </c>
      <c r="I68" s="3">
        <f t="shared" si="2"/>
        <v>105</v>
      </c>
      <c r="J68" s="3">
        <f t="shared" si="3"/>
        <v>415</v>
      </c>
      <c r="K68" t="s">
        <v>15</v>
      </c>
      <c r="L68" t="s">
        <v>16</v>
      </c>
      <c r="M68" t="s">
        <v>17</v>
      </c>
    </row>
    <row r="69" spans="1:13">
      <c r="A69" s="2">
        <v>46086</v>
      </c>
      <c r="B69" t="s">
        <v>43</v>
      </c>
      <c r="C69" t="s">
        <v>39</v>
      </c>
      <c r="D69" t="s">
        <v>21</v>
      </c>
      <c r="E69" s="4">
        <v>10</v>
      </c>
      <c r="F69" s="4">
        <v>3</v>
      </c>
      <c r="G69" s="4">
        <v>220</v>
      </c>
      <c r="H69" s="3">
        <v>7</v>
      </c>
      <c r="I69" s="3">
        <f t="shared" si="2"/>
        <v>70</v>
      </c>
      <c r="J69" s="3">
        <f t="shared" si="3"/>
        <v>290</v>
      </c>
      <c r="K69" t="s">
        <v>15</v>
      </c>
      <c r="L69" t="s">
        <v>16</v>
      </c>
      <c r="M69" t="s">
        <v>20</v>
      </c>
    </row>
    <row r="70" spans="1:13">
      <c r="A70" s="2">
        <v>46086</v>
      </c>
      <c r="B70" t="s">
        <v>43</v>
      </c>
      <c r="C70" t="s">
        <v>39</v>
      </c>
      <c r="D70" t="s">
        <v>22</v>
      </c>
      <c r="E70" s="4">
        <v>9</v>
      </c>
      <c r="F70" s="4">
        <v>4</v>
      </c>
      <c r="G70" s="4">
        <v>200</v>
      </c>
      <c r="H70" s="3">
        <v>7</v>
      </c>
      <c r="I70" s="3">
        <f t="shared" si="2"/>
        <v>63</v>
      </c>
      <c r="J70" s="3">
        <f t="shared" si="3"/>
        <v>263</v>
      </c>
      <c r="K70" t="s">
        <v>15</v>
      </c>
      <c r="L70" t="s">
        <v>16</v>
      </c>
      <c r="M70" t="s">
        <v>20</v>
      </c>
    </row>
    <row r="71" spans="1:13">
      <c r="A71" s="2">
        <v>46086</v>
      </c>
      <c r="B71" t="s">
        <v>43</v>
      </c>
      <c r="C71" t="s">
        <v>39</v>
      </c>
      <c r="D71" t="s">
        <v>23</v>
      </c>
      <c r="E71" s="4">
        <v>12</v>
      </c>
      <c r="F71" s="4">
        <v>7</v>
      </c>
      <c r="G71" s="4">
        <v>240</v>
      </c>
      <c r="H71" s="3">
        <v>8</v>
      </c>
      <c r="I71" s="3">
        <f t="shared" si="2"/>
        <v>96</v>
      </c>
      <c r="J71" s="3">
        <f t="shared" si="3"/>
        <v>336</v>
      </c>
      <c r="K71" t="s">
        <v>26</v>
      </c>
      <c r="L71" t="s">
        <v>16</v>
      </c>
      <c r="M71" t="s">
        <v>24</v>
      </c>
    </row>
    <row r="72" spans="1:13">
      <c r="A72" s="2">
        <v>46086</v>
      </c>
      <c r="B72" t="s">
        <v>43</v>
      </c>
      <c r="C72" t="s">
        <v>39</v>
      </c>
      <c r="D72" t="s">
        <v>25</v>
      </c>
      <c r="E72" s="4">
        <v>16</v>
      </c>
      <c r="F72" s="4">
        <v>10</v>
      </c>
      <c r="G72" s="4">
        <v>300</v>
      </c>
      <c r="H72" s="3">
        <v>9</v>
      </c>
      <c r="I72" s="3">
        <f t="shared" si="2"/>
        <v>144</v>
      </c>
      <c r="J72" s="3">
        <f t="shared" si="3"/>
        <v>444</v>
      </c>
      <c r="K72" t="s">
        <v>26</v>
      </c>
      <c r="L72" t="s">
        <v>16</v>
      </c>
      <c r="M72" t="s">
        <v>24</v>
      </c>
    </row>
    <row r="73" spans="1:13">
      <c r="A73" s="2">
        <v>46086</v>
      </c>
      <c r="B73" t="s">
        <v>43</v>
      </c>
      <c r="C73" t="s">
        <v>39</v>
      </c>
      <c r="D73" t="s">
        <v>27</v>
      </c>
      <c r="E73" s="4">
        <v>14</v>
      </c>
      <c r="F73" s="4">
        <v>9</v>
      </c>
      <c r="G73" s="4">
        <v>280</v>
      </c>
      <c r="H73" s="3">
        <v>8.5</v>
      </c>
      <c r="I73" s="3">
        <f t="shared" si="2"/>
        <v>119</v>
      </c>
      <c r="J73" s="3">
        <f t="shared" si="3"/>
        <v>399</v>
      </c>
      <c r="K73" t="s">
        <v>26</v>
      </c>
      <c r="L73" t="s">
        <v>16</v>
      </c>
      <c r="M73" t="s">
        <v>24</v>
      </c>
    </row>
    <row r="74" spans="1:13">
      <c r="A74" s="2">
        <v>46086</v>
      </c>
      <c r="B74" t="s">
        <v>43</v>
      </c>
      <c r="C74" t="s">
        <v>39</v>
      </c>
      <c r="D74" t="s">
        <v>29</v>
      </c>
      <c r="E74" s="4">
        <v>11</v>
      </c>
      <c r="F74" s="4">
        <v>7</v>
      </c>
      <c r="G74" s="4">
        <v>230</v>
      </c>
      <c r="H74" s="3">
        <v>7.5</v>
      </c>
      <c r="I74" s="3">
        <f t="shared" si="2"/>
        <v>82.5</v>
      </c>
      <c r="J74" s="3">
        <f t="shared" si="3"/>
        <v>312.5</v>
      </c>
      <c r="K74" t="s">
        <v>15</v>
      </c>
      <c r="L74" t="s">
        <v>16</v>
      </c>
      <c r="M74" t="s">
        <v>20</v>
      </c>
    </row>
    <row r="75" spans="1:13">
      <c r="A75" s="2">
        <v>46086</v>
      </c>
      <c r="B75" t="s">
        <v>43</v>
      </c>
      <c r="C75" t="s">
        <v>39</v>
      </c>
      <c r="D75" t="s">
        <v>30</v>
      </c>
      <c r="E75" s="4">
        <v>13</v>
      </c>
      <c r="F75" s="4">
        <v>8</v>
      </c>
      <c r="G75" s="4">
        <v>250</v>
      </c>
      <c r="H75" s="3">
        <v>8</v>
      </c>
      <c r="I75" s="3">
        <f t="shared" si="2"/>
        <v>104</v>
      </c>
      <c r="J75" s="3">
        <f t="shared" si="3"/>
        <v>354</v>
      </c>
      <c r="K75" t="s">
        <v>26</v>
      </c>
      <c r="L75" t="s">
        <v>16</v>
      </c>
      <c r="M75" t="s">
        <v>17</v>
      </c>
    </row>
    <row r="76" spans="1:13">
      <c r="A76" s="2">
        <v>46086</v>
      </c>
      <c r="B76" t="s">
        <v>43</v>
      </c>
      <c r="C76" t="s">
        <v>39</v>
      </c>
      <c r="D76" t="s">
        <v>31</v>
      </c>
      <c r="E76" s="4">
        <v>18</v>
      </c>
      <c r="F76" s="4">
        <v>11</v>
      </c>
      <c r="G76" s="4">
        <v>340</v>
      </c>
      <c r="H76" s="3">
        <v>9</v>
      </c>
      <c r="I76" s="3">
        <f t="shared" si="2"/>
        <v>162</v>
      </c>
      <c r="J76" s="3">
        <f t="shared" si="3"/>
        <v>502</v>
      </c>
      <c r="K76" t="s">
        <v>26</v>
      </c>
      <c r="L76" t="s">
        <v>16</v>
      </c>
      <c r="M76" t="s">
        <v>17</v>
      </c>
    </row>
    <row r="77" spans="1:13">
      <c r="A77" s="2">
        <v>46086</v>
      </c>
      <c r="B77" t="s">
        <v>43</v>
      </c>
      <c r="C77" t="s">
        <v>39</v>
      </c>
      <c r="D77" t="s">
        <v>32</v>
      </c>
      <c r="E77" s="4">
        <v>24</v>
      </c>
      <c r="F77" s="4">
        <v>14</v>
      </c>
      <c r="G77" s="4">
        <v>420</v>
      </c>
      <c r="H77" s="3">
        <v>10</v>
      </c>
      <c r="I77" s="3">
        <f t="shared" si="2"/>
        <v>240</v>
      </c>
      <c r="J77" s="3">
        <f t="shared" si="3"/>
        <v>660</v>
      </c>
      <c r="K77" t="s">
        <v>40</v>
      </c>
      <c r="L77" t="s">
        <v>28</v>
      </c>
      <c r="M77" t="s">
        <v>24</v>
      </c>
    </row>
    <row r="78" spans="1:13">
      <c r="A78" s="2">
        <v>46086</v>
      </c>
      <c r="B78" t="s">
        <v>43</v>
      </c>
      <c r="C78" t="s">
        <v>39</v>
      </c>
      <c r="D78" t="s">
        <v>33</v>
      </c>
      <c r="E78" s="4">
        <v>20</v>
      </c>
      <c r="F78" s="4">
        <v>12</v>
      </c>
      <c r="G78" s="4">
        <v>360</v>
      </c>
      <c r="H78" s="3">
        <v>9.5</v>
      </c>
      <c r="I78" s="3">
        <f t="shared" si="2"/>
        <v>190</v>
      </c>
      <c r="J78" s="3">
        <f t="shared" si="3"/>
        <v>550</v>
      </c>
      <c r="K78" t="s">
        <v>40</v>
      </c>
      <c r="L78" t="s">
        <v>28</v>
      </c>
      <c r="M78" t="s">
        <v>24</v>
      </c>
    </row>
    <row r="79" spans="1:13">
      <c r="A79" s="2">
        <v>46086</v>
      </c>
      <c r="B79" t="s">
        <v>43</v>
      </c>
      <c r="C79" t="s">
        <v>39</v>
      </c>
      <c r="D79" t="s">
        <v>34</v>
      </c>
      <c r="E79" s="4">
        <v>15</v>
      </c>
      <c r="F79" s="4">
        <v>8</v>
      </c>
      <c r="G79" s="4">
        <v>280</v>
      </c>
      <c r="H79" s="3">
        <v>8.5</v>
      </c>
      <c r="I79" s="3">
        <f t="shared" si="2"/>
        <v>127.5</v>
      </c>
      <c r="J79" s="3">
        <f t="shared" si="3"/>
        <v>407.5</v>
      </c>
      <c r="K79" t="s">
        <v>26</v>
      </c>
      <c r="L79" t="s">
        <v>16</v>
      </c>
      <c r="M79" t="s">
        <v>20</v>
      </c>
    </row>
    <row r="80" spans="1:13">
      <c r="A80" s="2">
        <v>46086</v>
      </c>
      <c r="B80" t="s">
        <v>43</v>
      </c>
      <c r="C80" t="s">
        <v>39</v>
      </c>
      <c r="D80" t="s">
        <v>36</v>
      </c>
      <c r="E80" s="4">
        <v>11</v>
      </c>
      <c r="F80" s="4">
        <v>5</v>
      </c>
      <c r="G80" s="4">
        <v>210</v>
      </c>
      <c r="H80" s="3">
        <v>7.5</v>
      </c>
      <c r="I80" s="3">
        <f t="shared" si="2"/>
        <v>82.5</v>
      </c>
      <c r="J80" s="3">
        <f t="shared" si="3"/>
        <v>292.5</v>
      </c>
      <c r="K80" t="s">
        <v>15</v>
      </c>
      <c r="L80" t="s">
        <v>16</v>
      </c>
      <c r="M80" t="s">
        <v>35</v>
      </c>
    </row>
    <row r="81" spans="1:13">
      <c r="A81" s="2">
        <v>46086</v>
      </c>
      <c r="B81" t="s">
        <v>43</v>
      </c>
      <c r="C81" t="s">
        <v>39</v>
      </c>
      <c r="D81" t="s">
        <v>37</v>
      </c>
      <c r="E81" s="4">
        <v>7</v>
      </c>
      <c r="F81" s="4">
        <v>3</v>
      </c>
      <c r="G81" s="4">
        <v>150</v>
      </c>
      <c r="H81" s="3">
        <v>7</v>
      </c>
      <c r="I81" s="3">
        <f t="shared" si="2"/>
        <v>49</v>
      </c>
      <c r="J81" s="3">
        <f t="shared" si="3"/>
        <v>199</v>
      </c>
      <c r="K81" t="s">
        <v>15</v>
      </c>
      <c r="L81" t="s">
        <v>16</v>
      </c>
      <c r="M81" t="s">
        <v>35</v>
      </c>
    </row>
    <row r="82" spans="1:13">
      <c r="A82" s="2">
        <v>46087</v>
      </c>
      <c r="B82" t="s">
        <v>44</v>
      </c>
      <c r="C82" t="s">
        <v>39</v>
      </c>
      <c r="D82" t="s">
        <v>14</v>
      </c>
      <c r="E82" s="4">
        <v>8</v>
      </c>
      <c r="F82" s="4">
        <v>2</v>
      </c>
      <c r="G82" s="4">
        <v>180</v>
      </c>
      <c r="H82" s="3">
        <v>6</v>
      </c>
      <c r="I82" s="3">
        <f t="shared" si="2"/>
        <v>48</v>
      </c>
      <c r="J82" s="3">
        <f t="shared" si="3"/>
        <v>228</v>
      </c>
      <c r="K82" t="s">
        <v>15</v>
      </c>
      <c r="L82" t="s">
        <v>16</v>
      </c>
      <c r="M82" t="s">
        <v>17</v>
      </c>
    </row>
    <row r="83" spans="1:13">
      <c r="A83" s="2">
        <v>46087</v>
      </c>
      <c r="B83" t="s">
        <v>44</v>
      </c>
      <c r="C83" t="s">
        <v>39</v>
      </c>
      <c r="D83" t="s">
        <v>18</v>
      </c>
      <c r="E83" s="4">
        <v>12</v>
      </c>
      <c r="F83" s="4">
        <v>3</v>
      </c>
      <c r="G83" s="4">
        <v>260</v>
      </c>
      <c r="H83" s="3">
        <v>6.5</v>
      </c>
      <c r="I83" s="3">
        <f t="shared" si="2"/>
        <v>78</v>
      </c>
      <c r="J83" s="3">
        <f t="shared" si="3"/>
        <v>338</v>
      </c>
      <c r="K83" t="s">
        <v>15</v>
      </c>
      <c r="L83" t="s">
        <v>16</v>
      </c>
      <c r="M83" t="s">
        <v>17</v>
      </c>
    </row>
    <row r="84" spans="1:13">
      <c r="A84" s="2">
        <v>46087</v>
      </c>
      <c r="B84" t="s">
        <v>44</v>
      </c>
      <c r="C84" t="s">
        <v>39</v>
      </c>
      <c r="D84" t="s">
        <v>19</v>
      </c>
      <c r="E84" s="4">
        <v>15</v>
      </c>
      <c r="F84" s="4">
        <v>4</v>
      </c>
      <c r="G84" s="4">
        <v>310</v>
      </c>
      <c r="H84" s="3">
        <v>7</v>
      </c>
      <c r="I84" s="3">
        <f t="shared" si="2"/>
        <v>105</v>
      </c>
      <c r="J84" s="3">
        <f t="shared" si="3"/>
        <v>415</v>
      </c>
      <c r="K84" t="s">
        <v>15</v>
      </c>
      <c r="L84" t="s">
        <v>16</v>
      </c>
      <c r="M84" t="s">
        <v>17</v>
      </c>
    </row>
    <row r="85" spans="1:13">
      <c r="A85" s="2">
        <v>46087</v>
      </c>
      <c r="B85" t="s">
        <v>44</v>
      </c>
      <c r="C85" t="s">
        <v>39</v>
      </c>
      <c r="D85" t="s">
        <v>21</v>
      </c>
      <c r="E85" s="4">
        <v>10</v>
      </c>
      <c r="F85" s="4">
        <v>3</v>
      </c>
      <c r="G85" s="4">
        <v>220</v>
      </c>
      <c r="H85" s="3">
        <v>7</v>
      </c>
      <c r="I85" s="3">
        <f t="shared" si="2"/>
        <v>70</v>
      </c>
      <c r="J85" s="3">
        <f t="shared" si="3"/>
        <v>290</v>
      </c>
      <c r="K85" t="s">
        <v>15</v>
      </c>
      <c r="L85" t="s">
        <v>16</v>
      </c>
      <c r="M85" t="s">
        <v>20</v>
      </c>
    </row>
    <row r="86" spans="1:13">
      <c r="A86" s="2">
        <v>46087</v>
      </c>
      <c r="B86" t="s">
        <v>44</v>
      </c>
      <c r="C86" t="s">
        <v>39</v>
      </c>
      <c r="D86" t="s">
        <v>22</v>
      </c>
      <c r="E86" s="4">
        <v>9</v>
      </c>
      <c r="F86" s="4">
        <v>4</v>
      </c>
      <c r="G86" s="4">
        <v>200</v>
      </c>
      <c r="H86" s="3">
        <v>7</v>
      </c>
      <c r="I86" s="3">
        <f t="shared" si="2"/>
        <v>63</v>
      </c>
      <c r="J86" s="3">
        <f t="shared" si="3"/>
        <v>263</v>
      </c>
      <c r="K86" t="s">
        <v>15</v>
      </c>
      <c r="L86" t="s">
        <v>16</v>
      </c>
      <c r="M86" t="s">
        <v>20</v>
      </c>
    </row>
    <row r="87" spans="1:13">
      <c r="A87" s="2">
        <v>46087</v>
      </c>
      <c r="B87" t="s">
        <v>44</v>
      </c>
      <c r="C87" t="s">
        <v>39</v>
      </c>
      <c r="D87" t="s">
        <v>23</v>
      </c>
      <c r="E87" s="4">
        <v>12</v>
      </c>
      <c r="F87" s="4">
        <v>7</v>
      </c>
      <c r="G87" s="4">
        <v>240</v>
      </c>
      <c r="H87" s="3">
        <v>8</v>
      </c>
      <c r="I87" s="3">
        <f t="shared" si="2"/>
        <v>96</v>
      </c>
      <c r="J87" s="3">
        <f t="shared" si="3"/>
        <v>336</v>
      </c>
      <c r="K87" t="s">
        <v>26</v>
      </c>
      <c r="L87" t="s">
        <v>16</v>
      </c>
      <c r="M87" t="s">
        <v>24</v>
      </c>
    </row>
    <row r="88" spans="1:13">
      <c r="A88" s="2">
        <v>46087</v>
      </c>
      <c r="B88" t="s">
        <v>44</v>
      </c>
      <c r="C88" t="s">
        <v>39</v>
      </c>
      <c r="D88" t="s">
        <v>25</v>
      </c>
      <c r="E88" s="4">
        <v>16</v>
      </c>
      <c r="F88" s="4">
        <v>10</v>
      </c>
      <c r="G88" s="4">
        <v>300</v>
      </c>
      <c r="H88" s="3">
        <v>9</v>
      </c>
      <c r="I88" s="3">
        <f t="shared" si="2"/>
        <v>144</v>
      </c>
      <c r="J88" s="3">
        <f t="shared" si="3"/>
        <v>444</v>
      </c>
      <c r="K88" t="s">
        <v>26</v>
      </c>
      <c r="L88" t="s">
        <v>16</v>
      </c>
      <c r="M88" t="s">
        <v>24</v>
      </c>
    </row>
    <row r="89" spans="1:13">
      <c r="A89" s="2">
        <v>46087</v>
      </c>
      <c r="B89" t="s">
        <v>44</v>
      </c>
      <c r="C89" t="s">
        <v>39</v>
      </c>
      <c r="D89" t="s">
        <v>27</v>
      </c>
      <c r="E89" s="4">
        <v>14</v>
      </c>
      <c r="F89" s="4">
        <v>9</v>
      </c>
      <c r="G89" s="4">
        <v>280</v>
      </c>
      <c r="H89" s="3">
        <v>8.5</v>
      </c>
      <c r="I89" s="3">
        <f t="shared" si="2"/>
        <v>119</v>
      </c>
      <c r="J89" s="3">
        <f t="shared" si="3"/>
        <v>399</v>
      </c>
      <c r="K89" t="s">
        <v>26</v>
      </c>
      <c r="L89" t="s">
        <v>16</v>
      </c>
      <c r="M89" t="s">
        <v>24</v>
      </c>
    </row>
    <row r="90" spans="1:13">
      <c r="A90" s="2">
        <v>46087</v>
      </c>
      <c r="B90" t="s">
        <v>44</v>
      </c>
      <c r="C90" t="s">
        <v>39</v>
      </c>
      <c r="D90" t="s">
        <v>29</v>
      </c>
      <c r="E90" s="4">
        <v>11</v>
      </c>
      <c r="F90" s="4">
        <v>7</v>
      </c>
      <c r="G90" s="4">
        <v>230</v>
      </c>
      <c r="H90" s="3">
        <v>7.5</v>
      </c>
      <c r="I90" s="3">
        <f t="shared" si="2"/>
        <v>82.5</v>
      </c>
      <c r="J90" s="3">
        <f t="shared" si="3"/>
        <v>312.5</v>
      </c>
      <c r="K90" t="s">
        <v>15</v>
      </c>
      <c r="L90" t="s">
        <v>16</v>
      </c>
      <c r="M90" t="s">
        <v>20</v>
      </c>
    </row>
    <row r="91" spans="1:13">
      <c r="A91" s="2">
        <v>46087</v>
      </c>
      <c r="B91" t="s">
        <v>44</v>
      </c>
      <c r="C91" t="s">
        <v>39</v>
      </c>
      <c r="D91" t="s">
        <v>30</v>
      </c>
      <c r="E91" s="4">
        <v>13</v>
      </c>
      <c r="F91" s="4">
        <v>8</v>
      </c>
      <c r="G91" s="4">
        <v>250</v>
      </c>
      <c r="H91" s="3">
        <v>8</v>
      </c>
      <c r="I91" s="3">
        <f t="shared" si="2"/>
        <v>104</v>
      </c>
      <c r="J91" s="3">
        <f t="shared" si="3"/>
        <v>354</v>
      </c>
      <c r="K91" t="s">
        <v>26</v>
      </c>
      <c r="L91" t="s">
        <v>16</v>
      </c>
      <c r="M91" t="s">
        <v>17</v>
      </c>
    </row>
    <row r="92" spans="1:13">
      <c r="A92" s="2">
        <v>46087</v>
      </c>
      <c r="B92" t="s">
        <v>44</v>
      </c>
      <c r="C92" t="s">
        <v>39</v>
      </c>
      <c r="D92" t="s">
        <v>31</v>
      </c>
      <c r="E92" s="4">
        <v>18</v>
      </c>
      <c r="F92" s="4">
        <v>11</v>
      </c>
      <c r="G92" s="4">
        <v>340</v>
      </c>
      <c r="H92" s="3">
        <v>9</v>
      </c>
      <c r="I92" s="3">
        <f t="shared" si="2"/>
        <v>162</v>
      </c>
      <c r="J92" s="3">
        <f t="shared" si="3"/>
        <v>502</v>
      </c>
      <c r="K92" t="s">
        <v>26</v>
      </c>
      <c r="L92" t="s">
        <v>16</v>
      </c>
      <c r="M92" t="s">
        <v>17</v>
      </c>
    </row>
    <row r="93" spans="1:13">
      <c r="A93" s="2">
        <v>46087</v>
      </c>
      <c r="B93" t="s">
        <v>44</v>
      </c>
      <c r="C93" t="s">
        <v>39</v>
      </c>
      <c r="D93" t="s">
        <v>32</v>
      </c>
      <c r="E93" s="4">
        <v>24</v>
      </c>
      <c r="F93" s="4">
        <v>14</v>
      </c>
      <c r="G93" s="4">
        <v>420</v>
      </c>
      <c r="H93" s="3">
        <v>10</v>
      </c>
      <c r="I93" s="3">
        <f t="shared" si="2"/>
        <v>240</v>
      </c>
      <c r="J93" s="3">
        <f t="shared" si="3"/>
        <v>660</v>
      </c>
      <c r="K93" t="s">
        <v>40</v>
      </c>
      <c r="L93" t="s">
        <v>28</v>
      </c>
      <c r="M93" t="s">
        <v>24</v>
      </c>
    </row>
    <row r="94" spans="1:13">
      <c r="A94" s="2">
        <v>46087</v>
      </c>
      <c r="B94" t="s">
        <v>44</v>
      </c>
      <c r="C94" t="s">
        <v>39</v>
      </c>
      <c r="D94" t="s">
        <v>33</v>
      </c>
      <c r="E94" s="4">
        <v>20</v>
      </c>
      <c r="F94" s="4">
        <v>12</v>
      </c>
      <c r="G94" s="4">
        <v>360</v>
      </c>
      <c r="H94" s="3">
        <v>9.5</v>
      </c>
      <c r="I94" s="3">
        <f t="shared" si="2"/>
        <v>190</v>
      </c>
      <c r="J94" s="3">
        <f t="shared" si="3"/>
        <v>550</v>
      </c>
      <c r="K94" t="s">
        <v>40</v>
      </c>
      <c r="L94" t="s">
        <v>28</v>
      </c>
      <c r="M94" t="s">
        <v>24</v>
      </c>
    </row>
    <row r="95" spans="1:13">
      <c r="A95" s="2">
        <v>46087</v>
      </c>
      <c r="B95" t="s">
        <v>44</v>
      </c>
      <c r="C95" t="s">
        <v>39</v>
      </c>
      <c r="D95" t="s">
        <v>34</v>
      </c>
      <c r="E95" s="4">
        <v>15</v>
      </c>
      <c r="F95" s="4">
        <v>8</v>
      </c>
      <c r="G95" s="4">
        <v>280</v>
      </c>
      <c r="H95" s="3">
        <v>8.5</v>
      </c>
      <c r="I95" s="3">
        <f t="shared" si="2"/>
        <v>127.5</v>
      </c>
      <c r="J95" s="3">
        <f t="shared" si="3"/>
        <v>407.5</v>
      </c>
      <c r="K95" t="s">
        <v>26</v>
      </c>
      <c r="L95" t="s">
        <v>16</v>
      </c>
      <c r="M95" t="s">
        <v>20</v>
      </c>
    </row>
    <row r="96" spans="1:13">
      <c r="A96" s="2">
        <v>46087</v>
      </c>
      <c r="B96" t="s">
        <v>44</v>
      </c>
      <c r="C96" t="s">
        <v>39</v>
      </c>
      <c r="D96" t="s">
        <v>36</v>
      </c>
      <c r="E96" s="4">
        <v>11</v>
      </c>
      <c r="F96" s="4">
        <v>5</v>
      </c>
      <c r="G96" s="4">
        <v>210</v>
      </c>
      <c r="H96" s="3">
        <v>7.5</v>
      </c>
      <c r="I96" s="3">
        <f t="shared" si="2"/>
        <v>82.5</v>
      </c>
      <c r="J96" s="3">
        <f t="shared" si="3"/>
        <v>292.5</v>
      </c>
      <c r="K96" t="s">
        <v>15</v>
      </c>
      <c r="L96" t="s">
        <v>16</v>
      </c>
      <c r="M96" t="s">
        <v>35</v>
      </c>
    </row>
    <row r="97" spans="1:13">
      <c r="A97" s="2">
        <v>46087</v>
      </c>
      <c r="B97" t="s">
        <v>44</v>
      </c>
      <c r="C97" t="s">
        <v>39</v>
      </c>
      <c r="D97" t="s">
        <v>37</v>
      </c>
      <c r="E97" s="4">
        <v>7</v>
      </c>
      <c r="F97" s="4">
        <v>3</v>
      </c>
      <c r="G97" s="4">
        <v>150</v>
      </c>
      <c r="H97" s="3">
        <v>7</v>
      </c>
      <c r="I97" s="3">
        <f t="shared" si="2"/>
        <v>49</v>
      </c>
      <c r="J97" s="3">
        <f t="shared" si="3"/>
        <v>199</v>
      </c>
      <c r="K97" t="s">
        <v>15</v>
      </c>
      <c r="L97" t="s">
        <v>16</v>
      </c>
      <c r="M97" t="s">
        <v>35</v>
      </c>
    </row>
    <row r="98" spans="1:13">
      <c r="A98" s="2">
        <v>46088</v>
      </c>
      <c r="B98" t="s">
        <v>45</v>
      </c>
      <c r="C98" t="s">
        <v>45</v>
      </c>
      <c r="D98" t="s">
        <v>14</v>
      </c>
      <c r="E98" s="4">
        <v>5</v>
      </c>
      <c r="F98" s="4">
        <v>1</v>
      </c>
      <c r="G98" s="4">
        <v>120</v>
      </c>
      <c r="H98" s="3">
        <v>6</v>
      </c>
      <c r="I98" s="3">
        <f t="shared" si="2"/>
        <v>30</v>
      </c>
      <c r="J98" s="3">
        <f t="shared" si="3"/>
        <v>150</v>
      </c>
      <c r="K98" t="s">
        <v>15</v>
      </c>
      <c r="L98" t="s">
        <v>16</v>
      </c>
      <c r="M98" t="s">
        <v>17</v>
      </c>
    </row>
    <row r="99" spans="1:13">
      <c r="A99" s="2">
        <v>46088</v>
      </c>
      <c r="B99" t="s">
        <v>45</v>
      </c>
      <c r="C99" t="s">
        <v>45</v>
      </c>
      <c r="D99" t="s">
        <v>18</v>
      </c>
      <c r="E99" s="4">
        <v>6</v>
      </c>
      <c r="F99" s="4">
        <v>2</v>
      </c>
      <c r="G99" s="4">
        <v>140</v>
      </c>
      <c r="H99" s="3">
        <v>6.5</v>
      </c>
      <c r="I99" s="3">
        <f t="shared" si="2"/>
        <v>39</v>
      </c>
      <c r="J99" s="3">
        <f t="shared" si="3"/>
        <v>179</v>
      </c>
      <c r="K99" t="s">
        <v>15</v>
      </c>
      <c r="L99" t="s">
        <v>16</v>
      </c>
      <c r="M99" t="s">
        <v>17</v>
      </c>
    </row>
    <row r="100" spans="1:13">
      <c r="A100" s="2">
        <v>46088</v>
      </c>
      <c r="B100" t="s">
        <v>45</v>
      </c>
      <c r="C100" t="s">
        <v>45</v>
      </c>
      <c r="D100" t="s">
        <v>19</v>
      </c>
      <c r="E100" s="4">
        <v>7</v>
      </c>
      <c r="F100" s="4">
        <v>2</v>
      </c>
      <c r="G100" s="4">
        <v>160</v>
      </c>
      <c r="H100" s="3">
        <v>7</v>
      </c>
      <c r="I100" s="3">
        <f t="shared" si="2"/>
        <v>49</v>
      </c>
      <c r="J100" s="3">
        <f t="shared" si="3"/>
        <v>209</v>
      </c>
      <c r="K100" t="s">
        <v>15</v>
      </c>
      <c r="L100" t="s">
        <v>16</v>
      </c>
      <c r="M100" t="s">
        <v>20</v>
      </c>
    </row>
    <row r="101" spans="1:13">
      <c r="A101" s="2">
        <v>46088</v>
      </c>
      <c r="B101" t="s">
        <v>45</v>
      </c>
      <c r="C101" t="s">
        <v>45</v>
      </c>
      <c r="D101" t="s">
        <v>21</v>
      </c>
      <c r="E101" s="4">
        <v>8</v>
      </c>
      <c r="F101" s="4">
        <v>3</v>
      </c>
      <c r="G101" s="4">
        <v>180</v>
      </c>
      <c r="H101" s="3">
        <v>7</v>
      </c>
      <c r="I101" s="3">
        <f t="shared" si="2"/>
        <v>56</v>
      </c>
      <c r="J101" s="3">
        <f t="shared" si="3"/>
        <v>236</v>
      </c>
      <c r="K101" t="s">
        <v>15</v>
      </c>
      <c r="L101" t="s">
        <v>16</v>
      </c>
      <c r="M101" t="s">
        <v>20</v>
      </c>
    </row>
    <row r="102" spans="1:13">
      <c r="A102" s="2">
        <v>46088</v>
      </c>
      <c r="B102" t="s">
        <v>45</v>
      </c>
      <c r="C102" t="s">
        <v>45</v>
      </c>
      <c r="D102" t="s">
        <v>22</v>
      </c>
      <c r="E102" s="4">
        <v>10</v>
      </c>
      <c r="F102" s="4">
        <v>5</v>
      </c>
      <c r="G102" s="4">
        <v>210</v>
      </c>
      <c r="H102" s="3">
        <v>7.5</v>
      </c>
      <c r="I102" s="3">
        <f t="shared" si="2"/>
        <v>75</v>
      </c>
      <c r="J102" s="3">
        <f t="shared" si="3"/>
        <v>285</v>
      </c>
      <c r="K102" t="s">
        <v>15</v>
      </c>
      <c r="L102" t="s">
        <v>16</v>
      </c>
      <c r="M102" t="s">
        <v>20</v>
      </c>
    </row>
    <row r="103" spans="1:13">
      <c r="A103" s="2">
        <v>46088</v>
      </c>
      <c r="B103" t="s">
        <v>45</v>
      </c>
      <c r="C103" t="s">
        <v>45</v>
      </c>
      <c r="D103" t="s">
        <v>23</v>
      </c>
      <c r="E103" s="4">
        <v>13</v>
      </c>
      <c r="F103" s="4">
        <v>8</v>
      </c>
      <c r="G103" s="4">
        <v>250</v>
      </c>
      <c r="H103" s="3">
        <v>8.5</v>
      </c>
      <c r="I103" s="3">
        <f t="shared" si="2"/>
        <v>110.5</v>
      </c>
      <c r="J103" s="3">
        <f t="shared" si="3"/>
        <v>360.5</v>
      </c>
      <c r="K103" t="s">
        <v>26</v>
      </c>
      <c r="L103" t="s">
        <v>16</v>
      </c>
      <c r="M103" t="s">
        <v>24</v>
      </c>
    </row>
    <row r="104" spans="1:13">
      <c r="A104" s="2">
        <v>46088</v>
      </c>
      <c r="B104" t="s">
        <v>45</v>
      </c>
      <c r="C104" t="s">
        <v>45</v>
      </c>
      <c r="D104" t="s">
        <v>25</v>
      </c>
      <c r="E104" s="4">
        <v>18</v>
      </c>
      <c r="F104" s="4">
        <v>12</v>
      </c>
      <c r="G104" s="4">
        <v>320</v>
      </c>
      <c r="H104" s="3">
        <v>9.5</v>
      </c>
      <c r="I104" s="3">
        <f t="shared" si="2"/>
        <v>171</v>
      </c>
      <c r="J104" s="3">
        <f t="shared" si="3"/>
        <v>491</v>
      </c>
      <c r="K104" t="s">
        <v>26</v>
      </c>
      <c r="L104" t="s">
        <v>28</v>
      </c>
      <c r="M104" t="s">
        <v>24</v>
      </c>
    </row>
    <row r="105" spans="1:13">
      <c r="A105" s="2">
        <v>46088</v>
      </c>
      <c r="B105" t="s">
        <v>45</v>
      </c>
      <c r="C105" t="s">
        <v>45</v>
      </c>
      <c r="D105" t="s">
        <v>27</v>
      </c>
      <c r="E105" s="4">
        <v>21</v>
      </c>
      <c r="F105" s="4">
        <v>14</v>
      </c>
      <c r="G105" s="4">
        <v>360</v>
      </c>
      <c r="H105" s="3">
        <v>10</v>
      </c>
      <c r="I105" s="3">
        <f t="shared" si="2"/>
        <v>210</v>
      </c>
      <c r="J105" s="3">
        <f t="shared" si="3"/>
        <v>570</v>
      </c>
      <c r="K105" t="s">
        <v>40</v>
      </c>
      <c r="L105" t="s">
        <v>28</v>
      </c>
      <c r="M105" t="s">
        <v>24</v>
      </c>
    </row>
    <row r="106" spans="1:13">
      <c r="A106" s="2">
        <v>46088</v>
      </c>
      <c r="B106" t="s">
        <v>45</v>
      </c>
      <c r="C106" t="s">
        <v>45</v>
      </c>
      <c r="D106" t="s">
        <v>29</v>
      </c>
      <c r="E106" s="4">
        <v>23</v>
      </c>
      <c r="F106" s="4">
        <v>15</v>
      </c>
      <c r="G106" s="4">
        <v>390</v>
      </c>
      <c r="H106" s="3">
        <v>10.5</v>
      </c>
      <c r="I106" s="3">
        <f t="shared" si="2"/>
        <v>241.5</v>
      </c>
      <c r="J106" s="3">
        <f t="shared" si="3"/>
        <v>631.5</v>
      </c>
      <c r="K106" t="s">
        <v>40</v>
      </c>
      <c r="L106" t="s">
        <v>28</v>
      </c>
      <c r="M106" t="s">
        <v>17</v>
      </c>
    </row>
    <row r="107" spans="1:13">
      <c r="A107" s="2">
        <v>46088</v>
      </c>
      <c r="B107" t="s">
        <v>45</v>
      </c>
      <c r="C107" t="s">
        <v>45</v>
      </c>
      <c r="D107" t="s">
        <v>30</v>
      </c>
      <c r="E107" s="4">
        <v>22</v>
      </c>
      <c r="F107" s="4">
        <v>13</v>
      </c>
      <c r="G107" s="4">
        <v>370</v>
      </c>
      <c r="H107" s="3">
        <v>10</v>
      </c>
      <c r="I107" s="3">
        <f t="shared" si="2"/>
        <v>220</v>
      </c>
      <c r="J107" s="3">
        <f t="shared" si="3"/>
        <v>590</v>
      </c>
      <c r="K107" t="s">
        <v>40</v>
      </c>
      <c r="L107" t="s">
        <v>28</v>
      </c>
      <c r="M107" t="s">
        <v>17</v>
      </c>
    </row>
    <row r="108" spans="1:13">
      <c r="A108" s="2">
        <v>46088</v>
      </c>
      <c r="B108" t="s">
        <v>45</v>
      </c>
      <c r="C108" t="s">
        <v>45</v>
      </c>
      <c r="D108" t="s">
        <v>31</v>
      </c>
      <c r="E108" s="4">
        <v>19</v>
      </c>
      <c r="F108" s="4">
        <v>11</v>
      </c>
      <c r="G108" s="4">
        <v>340</v>
      </c>
      <c r="H108" s="3">
        <v>9</v>
      </c>
      <c r="I108" s="3">
        <f t="shared" si="2"/>
        <v>171</v>
      </c>
      <c r="J108" s="3">
        <f t="shared" si="3"/>
        <v>511</v>
      </c>
      <c r="K108" t="s">
        <v>26</v>
      </c>
      <c r="L108" t="s">
        <v>16</v>
      </c>
      <c r="M108" t="s">
        <v>17</v>
      </c>
    </row>
    <row r="109" spans="1:13">
      <c r="A109" s="2">
        <v>46088</v>
      </c>
      <c r="B109" t="s">
        <v>45</v>
      </c>
      <c r="C109" t="s">
        <v>45</v>
      </c>
      <c r="D109" t="s">
        <v>32</v>
      </c>
      <c r="E109" s="4">
        <v>17</v>
      </c>
      <c r="F109" s="4">
        <v>10</v>
      </c>
      <c r="G109" s="4">
        <v>300</v>
      </c>
      <c r="H109" s="3">
        <v>9</v>
      </c>
      <c r="I109" s="3">
        <f t="shared" si="2"/>
        <v>153</v>
      </c>
      <c r="J109" s="3">
        <f t="shared" si="3"/>
        <v>453</v>
      </c>
      <c r="K109" t="s">
        <v>26</v>
      </c>
      <c r="L109" t="s">
        <v>16</v>
      </c>
      <c r="M109" t="s">
        <v>20</v>
      </c>
    </row>
    <row r="110" spans="1:13">
      <c r="A110" s="2">
        <v>46088</v>
      </c>
      <c r="B110" t="s">
        <v>45</v>
      </c>
      <c r="C110" t="s">
        <v>45</v>
      </c>
      <c r="D110" t="s">
        <v>33</v>
      </c>
      <c r="E110" s="4">
        <v>15</v>
      </c>
      <c r="F110" s="4">
        <v>8</v>
      </c>
      <c r="G110" s="4">
        <v>270</v>
      </c>
      <c r="H110" s="3">
        <v>8.5</v>
      </c>
      <c r="I110" s="3">
        <f t="shared" si="2"/>
        <v>127.5</v>
      </c>
      <c r="J110" s="3">
        <f t="shared" si="3"/>
        <v>397.5</v>
      </c>
      <c r="K110" t="s">
        <v>26</v>
      </c>
      <c r="L110" t="s">
        <v>16</v>
      </c>
      <c r="M110" t="s">
        <v>20</v>
      </c>
    </row>
    <row r="111" spans="1:13">
      <c r="A111" s="2">
        <v>46088</v>
      </c>
      <c r="B111" t="s">
        <v>45</v>
      </c>
      <c r="C111" t="s">
        <v>45</v>
      </c>
      <c r="D111" t="s">
        <v>34</v>
      </c>
      <c r="E111" s="4">
        <v>13</v>
      </c>
      <c r="F111" s="4">
        <v>6</v>
      </c>
      <c r="G111" s="4">
        <v>230</v>
      </c>
      <c r="H111" s="3">
        <v>8</v>
      </c>
      <c r="I111" s="3">
        <f t="shared" si="2"/>
        <v>104</v>
      </c>
      <c r="J111" s="3">
        <f t="shared" si="3"/>
        <v>334</v>
      </c>
      <c r="K111" t="s">
        <v>15</v>
      </c>
      <c r="L111" t="s">
        <v>16</v>
      </c>
      <c r="M111" t="s">
        <v>35</v>
      </c>
    </row>
    <row r="112" spans="1:13">
      <c r="A112" s="2">
        <v>46088</v>
      </c>
      <c r="B112" t="s">
        <v>45</v>
      </c>
      <c r="C112" t="s">
        <v>45</v>
      </c>
      <c r="D112" t="s">
        <v>36</v>
      </c>
      <c r="E112" s="4">
        <v>10</v>
      </c>
      <c r="F112" s="4">
        <v>4</v>
      </c>
      <c r="G112" s="4">
        <v>190</v>
      </c>
      <c r="H112" s="3">
        <v>7.5</v>
      </c>
      <c r="I112" s="3">
        <f t="shared" si="2"/>
        <v>75</v>
      </c>
      <c r="J112" s="3">
        <f t="shared" si="3"/>
        <v>265</v>
      </c>
      <c r="K112" t="s">
        <v>15</v>
      </c>
      <c r="L112" t="s">
        <v>16</v>
      </c>
      <c r="M112" t="s">
        <v>35</v>
      </c>
    </row>
    <row r="113" spans="1:13">
      <c r="A113" s="2">
        <v>46088</v>
      </c>
      <c r="B113" t="s">
        <v>45</v>
      </c>
      <c r="C113" t="s">
        <v>45</v>
      </c>
      <c r="D113" t="s">
        <v>37</v>
      </c>
      <c r="E113" s="4">
        <v>7</v>
      </c>
      <c r="F113" s="4">
        <v>2</v>
      </c>
      <c r="G113" s="4">
        <v>140</v>
      </c>
      <c r="H113" s="3">
        <v>7</v>
      </c>
      <c r="I113" s="3">
        <f t="shared" si="2"/>
        <v>49</v>
      </c>
      <c r="J113" s="3">
        <f t="shared" si="3"/>
        <v>189</v>
      </c>
      <c r="K113" t="s">
        <v>15</v>
      </c>
      <c r="L113" t="s">
        <v>16</v>
      </c>
      <c r="M113" t="s">
        <v>35</v>
      </c>
    </row>
    <row r="114" spans="1:13">
      <c r="A114" s="2">
        <v>46089</v>
      </c>
      <c r="B114" t="s">
        <v>13</v>
      </c>
      <c r="C114" t="s">
        <v>13</v>
      </c>
      <c r="D114" t="s">
        <v>14</v>
      </c>
      <c r="E114" s="4">
        <v>3</v>
      </c>
      <c r="F114" s="4">
        <v>0</v>
      </c>
      <c r="G114" s="4">
        <v>80</v>
      </c>
      <c r="H114" s="3">
        <v>6</v>
      </c>
      <c r="I114" s="3">
        <f t="shared" si="2"/>
        <v>18</v>
      </c>
      <c r="J114" s="3">
        <f t="shared" si="3"/>
        <v>98</v>
      </c>
      <c r="K114" t="s">
        <v>15</v>
      </c>
      <c r="L114" t="s">
        <v>16</v>
      </c>
      <c r="M114" t="s">
        <v>17</v>
      </c>
    </row>
    <row r="115" spans="1:13">
      <c r="A115" s="2">
        <v>46089</v>
      </c>
      <c r="B115" t="s">
        <v>13</v>
      </c>
      <c r="C115" t="s">
        <v>13</v>
      </c>
      <c r="D115" t="s">
        <v>18</v>
      </c>
      <c r="E115" s="4">
        <v>4</v>
      </c>
      <c r="F115" s="4">
        <v>1</v>
      </c>
      <c r="G115" s="4">
        <v>90</v>
      </c>
      <c r="H115" s="3">
        <v>6.5</v>
      </c>
      <c r="I115" s="3">
        <f t="shared" si="2"/>
        <v>26</v>
      </c>
      <c r="J115" s="3">
        <f t="shared" si="3"/>
        <v>116</v>
      </c>
      <c r="K115" t="s">
        <v>15</v>
      </c>
      <c r="L115" t="s">
        <v>16</v>
      </c>
      <c r="M115" t="s">
        <v>17</v>
      </c>
    </row>
    <row r="116" spans="1:13">
      <c r="A116" s="2">
        <v>46089</v>
      </c>
      <c r="B116" t="s">
        <v>13</v>
      </c>
      <c r="C116" t="s">
        <v>13</v>
      </c>
      <c r="D116" t="s">
        <v>19</v>
      </c>
      <c r="E116" s="4">
        <v>5</v>
      </c>
      <c r="F116" s="4">
        <v>1</v>
      </c>
      <c r="G116" s="4">
        <v>100</v>
      </c>
      <c r="H116" s="3">
        <v>7</v>
      </c>
      <c r="I116" s="3">
        <f t="shared" si="2"/>
        <v>35</v>
      </c>
      <c r="J116" s="3">
        <f t="shared" si="3"/>
        <v>135</v>
      </c>
      <c r="K116" t="s">
        <v>15</v>
      </c>
      <c r="L116" t="s">
        <v>16</v>
      </c>
      <c r="M116" t="s">
        <v>20</v>
      </c>
    </row>
    <row r="117" spans="1:13">
      <c r="A117" s="2">
        <v>46089</v>
      </c>
      <c r="B117" t="s">
        <v>13</v>
      </c>
      <c r="C117" t="s">
        <v>13</v>
      </c>
      <c r="D117" t="s">
        <v>21</v>
      </c>
      <c r="E117" s="4">
        <v>5</v>
      </c>
      <c r="F117" s="4">
        <v>2</v>
      </c>
      <c r="G117" s="4">
        <v>105</v>
      </c>
      <c r="H117" s="3">
        <v>7</v>
      </c>
      <c r="I117" s="3">
        <f t="shared" si="2"/>
        <v>35</v>
      </c>
      <c r="J117" s="3">
        <f t="shared" si="3"/>
        <v>140</v>
      </c>
      <c r="K117" t="s">
        <v>15</v>
      </c>
      <c r="L117" t="s">
        <v>16</v>
      </c>
      <c r="M117" t="s">
        <v>20</v>
      </c>
    </row>
    <row r="118" spans="1:13">
      <c r="A118" s="2">
        <v>46089</v>
      </c>
      <c r="B118" t="s">
        <v>13</v>
      </c>
      <c r="C118" t="s">
        <v>13</v>
      </c>
      <c r="D118" t="s">
        <v>22</v>
      </c>
      <c r="E118" s="4">
        <v>6</v>
      </c>
      <c r="F118" s="4">
        <v>2</v>
      </c>
      <c r="G118" s="4">
        <v>115</v>
      </c>
      <c r="H118" s="3">
        <v>7</v>
      </c>
      <c r="I118" s="3">
        <f t="shared" si="2"/>
        <v>42</v>
      </c>
      <c r="J118" s="3">
        <f t="shared" si="3"/>
        <v>157</v>
      </c>
      <c r="K118" t="s">
        <v>15</v>
      </c>
      <c r="L118" t="s">
        <v>16</v>
      </c>
      <c r="M118" t="s">
        <v>20</v>
      </c>
    </row>
    <row r="119" spans="1:13">
      <c r="A119" s="2">
        <v>46089</v>
      </c>
      <c r="B119" t="s">
        <v>13</v>
      </c>
      <c r="C119" t="s">
        <v>13</v>
      </c>
      <c r="D119" t="s">
        <v>23</v>
      </c>
      <c r="E119" s="4">
        <v>7</v>
      </c>
      <c r="F119" s="4">
        <v>4</v>
      </c>
      <c r="G119" s="4">
        <v>130</v>
      </c>
      <c r="H119" s="3">
        <v>8</v>
      </c>
      <c r="I119" s="3">
        <f t="shared" si="2"/>
        <v>56</v>
      </c>
      <c r="J119" s="3">
        <f t="shared" si="3"/>
        <v>186</v>
      </c>
      <c r="K119" t="s">
        <v>15</v>
      </c>
      <c r="L119" t="s">
        <v>16</v>
      </c>
      <c r="M119" t="s">
        <v>24</v>
      </c>
    </row>
    <row r="120" spans="1:13">
      <c r="A120" s="2">
        <v>46089</v>
      </c>
      <c r="B120" t="s">
        <v>13</v>
      </c>
      <c r="C120" t="s">
        <v>13</v>
      </c>
      <c r="D120" t="s">
        <v>25</v>
      </c>
      <c r="E120" s="4">
        <v>9</v>
      </c>
      <c r="F120" s="4">
        <v>6</v>
      </c>
      <c r="G120" s="4">
        <v>160</v>
      </c>
      <c r="H120" s="3">
        <v>9</v>
      </c>
      <c r="I120" s="3">
        <f t="shared" si="2"/>
        <v>81</v>
      </c>
      <c r="J120" s="3">
        <f t="shared" si="3"/>
        <v>241</v>
      </c>
      <c r="K120" t="s">
        <v>26</v>
      </c>
      <c r="L120" t="s">
        <v>16</v>
      </c>
      <c r="M120" t="s">
        <v>24</v>
      </c>
    </row>
    <row r="121" spans="1:13">
      <c r="A121" s="2">
        <v>46089</v>
      </c>
      <c r="B121" t="s">
        <v>13</v>
      </c>
      <c r="C121" t="s">
        <v>13</v>
      </c>
      <c r="D121" t="s">
        <v>27</v>
      </c>
      <c r="E121" s="4">
        <v>10</v>
      </c>
      <c r="F121" s="4">
        <v>7</v>
      </c>
      <c r="G121" s="4">
        <v>180</v>
      </c>
      <c r="H121" s="3">
        <v>9.5</v>
      </c>
      <c r="I121" s="3">
        <f t="shared" si="2"/>
        <v>95</v>
      </c>
      <c r="J121" s="3">
        <f t="shared" si="3"/>
        <v>275</v>
      </c>
      <c r="K121" t="s">
        <v>26</v>
      </c>
      <c r="L121" t="s">
        <v>28</v>
      </c>
      <c r="M121" t="s">
        <v>24</v>
      </c>
    </row>
    <row r="122" spans="1:13">
      <c r="A122" s="2">
        <v>46089</v>
      </c>
      <c r="B122" t="s">
        <v>13</v>
      </c>
      <c r="C122" t="s">
        <v>13</v>
      </c>
      <c r="D122" t="s">
        <v>29</v>
      </c>
      <c r="E122" s="4">
        <v>9</v>
      </c>
      <c r="F122" s="4">
        <v>6</v>
      </c>
      <c r="G122" s="4">
        <v>170</v>
      </c>
      <c r="H122" s="3">
        <v>9</v>
      </c>
      <c r="I122" s="3">
        <f t="shared" si="2"/>
        <v>81</v>
      </c>
      <c r="J122" s="3">
        <f t="shared" si="3"/>
        <v>251</v>
      </c>
      <c r="K122" t="s">
        <v>26</v>
      </c>
      <c r="L122" t="s">
        <v>16</v>
      </c>
      <c r="M122" t="s">
        <v>17</v>
      </c>
    </row>
    <row r="123" spans="1:13">
      <c r="A123" s="2">
        <v>46089</v>
      </c>
      <c r="B123" t="s">
        <v>13</v>
      </c>
      <c r="C123" t="s">
        <v>13</v>
      </c>
      <c r="D123" t="s">
        <v>30</v>
      </c>
      <c r="E123" s="4">
        <v>8</v>
      </c>
      <c r="F123" s="4">
        <v>5</v>
      </c>
      <c r="G123" s="4">
        <v>150</v>
      </c>
      <c r="H123" s="3">
        <v>8.5</v>
      </c>
      <c r="I123" s="3">
        <f t="shared" si="2"/>
        <v>68</v>
      </c>
      <c r="J123" s="3">
        <f t="shared" si="3"/>
        <v>218</v>
      </c>
      <c r="K123" t="s">
        <v>15</v>
      </c>
      <c r="L123" t="s">
        <v>16</v>
      </c>
      <c r="M123" t="s">
        <v>17</v>
      </c>
    </row>
    <row r="124" spans="1:13">
      <c r="A124" s="2">
        <v>46089</v>
      </c>
      <c r="B124" t="s">
        <v>13</v>
      </c>
      <c r="C124" t="s">
        <v>13</v>
      </c>
      <c r="D124" t="s">
        <v>31</v>
      </c>
      <c r="E124" s="4">
        <v>7</v>
      </c>
      <c r="F124" s="4">
        <v>4</v>
      </c>
      <c r="G124" s="4">
        <v>135</v>
      </c>
      <c r="H124" s="3">
        <v>8</v>
      </c>
      <c r="I124" s="3">
        <f t="shared" si="2"/>
        <v>56</v>
      </c>
      <c r="J124" s="3">
        <f t="shared" si="3"/>
        <v>191</v>
      </c>
      <c r="K124" t="s">
        <v>15</v>
      </c>
      <c r="L124" t="s">
        <v>16</v>
      </c>
      <c r="M124" t="s">
        <v>17</v>
      </c>
    </row>
    <row r="125" spans="1:13">
      <c r="A125" s="2">
        <v>46089</v>
      </c>
      <c r="B125" t="s">
        <v>13</v>
      </c>
      <c r="C125" t="s">
        <v>13</v>
      </c>
      <c r="D125" t="s">
        <v>32</v>
      </c>
      <c r="E125" s="4">
        <v>6</v>
      </c>
      <c r="F125" s="4">
        <v>3</v>
      </c>
      <c r="G125" s="4">
        <v>120</v>
      </c>
      <c r="H125" s="3">
        <v>8</v>
      </c>
      <c r="I125" s="3">
        <f t="shared" si="2"/>
        <v>48</v>
      </c>
      <c r="J125" s="3">
        <f t="shared" si="3"/>
        <v>168</v>
      </c>
      <c r="K125" t="s">
        <v>15</v>
      </c>
      <c r="L125" t="s">
        <v>16</v>
      </c>
      <c r="M125" t="s">
        <v>20</v>
      </c>
    </row>
    <row r="126" spans="1:13">
      <c r="A126" s="2">
        <v>46089</v>
      </c>
      <c r="B126" t="s">
        <v>13</v>
      </c>
      <c r="C126" t="s">
        <v>13</v>
      </c>
      <c r="D126" t="s">
        <v>33</v>
      </c>
      <c r="E126" s="4">
        <v>6</v>
      </c>
      <c r="F126" s="4">
        <v>3</v>
      </c>
      <c r="G126" s="4">
        <v>115</v>
      </c>
      <c r="H126" s="3">
        <v>8</v>
      </c>
      <c r="I126" s="3">
        <f t="shared" si="2"/>
        <v>48</v>
      </c>
      <c r="J126" s="3">
        <f t="shared" si="3"/>
        <v>163</v>
      </c>
      <c r="K126" t="s">
        <v>15</v>
      </c>
      <c r="L126" t="s">
        <v>16</v>
      </c>
      <c r="M126" t="s">
        <v>20</v>
      </c>
    </row>
    <row r="127" spans="1:13">
      <c r="A127" s="2">
        <v>46089</v>
      </c>
      <c r="B127" t="s">
        <v>13</v>
      </c>
      <c r="C127" t="s">
        <v>13</v>
      </c>
      <c r="D127" t="s">
        <v>34</v>
      </c>
      <c r="E127" s="4">
        <v>5</v>
      </c>
      <c r="F127" s="4">
        <v>2</v>
      </c>
      <c r="G127" s="4">
        <v>100</v>
      </c>
      <c r="H127" s="3">
        <v>7.5</v>
      </c>
      <c r="I127" s="3">
        <f t="shared" si="2"/>
        <v>37.5</v>
      </c>
      <c r="J127" s="3">
        <f t="shared" si="3"/>
        <v>137.5</v>
      </c>
      <c r="K127" t="s">
        <v>15</v>
      </c>
      <c r="L127" t="s">
        <v>16</v>
      </c>
      <c r="M127" t="s">
        <v>35</v>
      </c>
    </row>
    <row r="128" spans="1:13">
      <c r="A128" s="2">
        <v>46089</v>
      </c>
      <c r="B128" t="s">
        <v>13</v>
      </c>
      <c r="C128" t="s">
        <v>13</v>
      </c>
      <c r="D128" t="s">
        <v>36</v>
      </c>
      <c r="E128" s="4">
        <v>4</v>
      </c>
      <c r="F128" s="4">
        <v>1</v>
      </c>
      <c r="G128" s="4">
        <v>85</v>
      </c>
      <c r="H128" s="3">
        <v>7</v>
      </c>
      <c r="I128" s="3">
        <f t="shared" si="2"/>
        <v>28</v>
      </c>
      <c r="J128" s="3">
        <f t="shared" si="3"/>
        <v>113</v>
      </c>
      <c r="K128" t="s">
        <v>15</v>
      </c>
      <c r="L128" t="s">
        <v>16</v>
      </c>
      <c r="M128" t="s">
        <v>35</v>
      </c>
    </row>
    <row r="129" spans="1:13">
      <c r="A129" s="2">
        <v>46089</v>
      </c>
      <c r="B129" t="s">
        <v>13</v>
      </c>
      <c r="C129" t="s">
        <v>13</v>
      </c>
      <c r="D129" t="s">
        <v>37</v>
      </c>
      <c r="E129" s="4">
        <v>3</v>
      </c>
      <c r="F129" s="4">
        <v>1</v>
      </c>
      <c r="G129" s="4">
        <v>70</v>
      </c>
      <c r="H129" s="3">
        <v>7</v>
      </c>
      <c r="I129" s="3">
        <f t="shared" si="2"/>
        <v>21</v>
      </c>
      <c r="J129" s="3">
        <f t="shared" si="3"/>
        <v>91</v>
      </c>
      <c r="K129" t="s">
        <v>15</v>
      </c>
      <c r="L129" t="s">
        <v>16</v>
      </c>
      <c r="M129" t="s">
        <v>35</v>
      </c>
    </row>
    <row r="130" spans="1:13">
      <c r="A130" s="2">
        <v>46090</v>
      </c>
      <c r="B130" t="s">
        <v>38</v>
      </c>
      <c r="C130" t="s">
        <v>39</v>
      </c>
      <c r="D130" t="s">
        <v>14</v>
      </c>
      <c r="E130" s="4">
        <v>8</v>
      </c>
      <c r="F130" s="4">
        <v>2</v>
      </c>
      <c r="G130" s="4">
        <v>180</v>
      </c>
      <c r="H130" s="3">
        <v>6</v>
      </c>
      <c r="I130" s="3">
        <f t="shared" ref="I130:I193" si="4">E130*H130</f>
        <v>48</v>
      </c>
      <c r="J130" s="3">
        <f t="shared" ref="J130:J193" si="5">G130+I130</f>
        <v>228</v>
      </c>
      <c r="K130" t="s">
        <v>15</v>
      </c>
      <c r="L130" t="s">
        <v>16</v>
      </c>
      <c r="M130" t="s">
        <v>17</v>
      </c>
    </row>
    <row r="131" spans="1:13">
      <c r="A131" s="2">
        <v>46090</v>
      </c>
      <c r="B131" t="s">
        <v>38</v>
      </c>
      <c r="C131" t="s">
        <v>39</v>
      </c>
      <c r="D131" t="s">
        <v>18</v>
      </c>
      <c r="E131" s="4">
        <v>12</v>
      </c>
      <c r="F131" s="4">
        <v>3</v>
      </c>
      <c r="G131" s="4">
        <v>260</v>
      </c>
      <c r="H131" s="3">
        <v>6.5</v>
      </c>
      <c r="I131" s="3">
        <f t="shared" si="4"/>
        <v>78</v>
      </c>
      <c r="J131" s="3">
        <f t="shared" si="5"/>
        <v>338</v>
      </c>
      <c r="K131" t="s">
        <v>15</v>
      </c>
      <c r="L131" t="s">
        <v>16</v>
      </c>
      <c r="M131" t="s">
        <v>17</v>
      </c>
    </row>
    <row r="132" spans="1:13">
      <c r="A132" s="2">
        <v>46090</v>
      </c>
      <c r="B132" t="s">
        <v>38</v>
      </c>
      <c r="C132" t="s">
        <v>39</v>
      </c>
      <c r="D132" t="s">
        <v>19</v>
      </c>
      <c r="E132" s="4">
        <v>15</v>
      </c>
      <c r="F132" s="4">
        <v>4</v>
      </c>
      <c r="G132" s="4">
        <v>310</v>
      </c>
      <c r="H132" s="3">
        <v>7</v>
      </c>
      <c r="I132" s="3">
        <f t="shared" si="4"/>
        <v>105</v>
      </c>
      <c r="J132" s="3">
        <f t="shared" si="5"/>
        <v>415</v>
      </c>
      <c r="K132" t="s">
        <v>15</v>
      </c>
      <c r="L132" t="s">
        <v>16</v>
      </c>
      <c r="M132" t="s">
        <v>17</v>
      </c>
    </row>
    <row r="133" spans="1:13">
      <c r="A133" s="2">
        <v>46090</v>
      </c>
      <c r="B133" t="s">
        <v>38</v>
      </c>
      <c r="C133" t="s">
        <v>39</v>
      </c>
      <c r="D133" t="s">
        <v>21</v>
      </c>
      <c r="E133" s="4">
        <v>10</v>
      </c>
      <c r="F133" s="4">
        <v>3</v>
      </c>
      <c r="G133" s="4">
        <v>220</v>
      </c>
      <c r="H133" s="3">
        <v>7</v>
      </c>
      <c r="I133" s="3">
        <f t="shared" si="4"/>
        <v>70</v>
      </c>
      <c r="J133" s="3">
        <f t="shared" si="5"/>
        <v>290</v>
      </c>
      <c r="K133" t="s">
        <v>15</v>
      </c>
      <c r="L133" t="s">
        <v>16</v>
      </c>
      <c r="M133" t="s">
        <v>20</v>
      </c>
    </row>
    <row r="134" spans="1:13">
      <c r="A134" s="2">
        <v>46090</v>
      </c>
      <c r="B134" t="s">
        <v>38</v>
      </c>
      <c r="C134" t="s">
        <v>39</v>
      </c>
      <c r="D134" t="s">
        <v>22</v>
      </c>
      <c r="E134" s="4">
        <v>9</v>
      </c>
      <c r="F134" s="4">
        <v>4</v>
      </c>
      <c r="G134" s="4">
        <v>200</v>
      </c>
      <c r="H134" s="3">
        <v>7</v>
      </c>
      <c r="I134" s="3">
        <f t="shared" si="4"/>
        <v>63</v>
      </c>
      <c r="J134" s="3">
        <f t="shared" si="5"/>
        <v>263</v>
      </c>
      <c r="K134" t="s">
        <v>15</v>
      </c>
      <c r="L134" t="s">
        <v>16</v>
      </c>
      <c r="M134" t="s">
        <v>20</v>
      </c>
    </row>
    <row r="135" spans="1:13">
      <c r="A135" s="2">
        <v>46090</v>
      </c>
      <c r="B135" t="s">
        <v>38</v>
      </c>
      <c r="C135" t="s">
        <v>39</v>
      </c>
      <c r="D135" t="s">
        <v>23</v>
      </c>
      <c r="E135" s="4">
        <v>12</v>
      </c>
      <c r="F135" s="4">
        <v>7</v>
      </c>
      <c r="G135" s="4">
        <v>240</v>
      </c>
      <c r="H135" s="3">
        <v>8</v>
      </c>
      <c r="I135" s="3">
        <f t="shared" si="4"/>
        <v>96</v>
      </c>
      <c r="J135" s="3">
        <f t="shared" si="5"/>
        <v>336</v>
      </c>
      <c r="K135" t="s">
        <v>26</v>
      </c>
      <c r="L135" t="s">
        <v>16</v>
      </c>
      <c r="M135" t="s">
        <v>24</v>
      </c>
    </row>
    <row r="136" spans="1:13">
      <c r="A136" s="2">
        <v>46090</v>
      </c>
      <c r="B136" t="s">
        <v>38</v>
      </c>
      <c r="C136" t="s">
        <v>39</v>
      </c>
      <c r="D136" t="s">
        <v>25</v>
      </c>
      <c r="E136" s="4">
        <v>16</v>
      </c>
      <c r="F136" s="4">
        <v>10</v>
      </c>
      <c r="G136" s="4">
        <v>300</v>
      </c>
      <c r="H136" s="3">
        <v>9</v>
      </c>
      <c r="I136" s="3">
        <f t="shared" si="4"/>
        <v>144</v>
      </c>
      <c r="J136" s="3">
        <f t="shared" si="5"/>
        <v>444</v>
      </c>
      <c r="K136" t="s">
        <v>26</v>
      </c>
      <c r="L136" t="s">
        <v>16</v>
      </c>
      <c r="M136" t="s">
        <v>24</v>
      </c>
    </row>
    <row r="137" spans="1:13">
      <c r="A137" s="2">
        <v>46090</v>
      </c>
      <c r="B137" t="s">
        <v>38</v>
      </c>
      <c r="C137" t="s">
        <v>39</v>
      </c>
      <c r="D137" t="s">
        <v>27</v>
      </c>
      <c r="E137" s="4">
        <v>14</v>
      </c>
      <c r="F137" s="4">
        <v>9</v>
      </c>
      <c r="G137" s="4">
        <v>280</v>
      </c>
      <c r="H137" s="3">
        <v>8.5</v>
      </c>
      <c r="I137" s="3">
        <f t="shared" si="4"/>
        <v>119</v>
      </c>
      <c r="J137" s="3">
        <f t="shared" si="5"/>
        <v>399</v>
      </c>
      <c r="K137" t="s">
        <v>26</v>
      </c>
      <c r="L137" t="s">
        <v>16</v>
      </c>
      <c r="M137" t="s">
        <v>24</v>
      </c>
    </row>
    <row r="138" spans="1:13">
      <c r="A138" s="2">
        <v>46090</v>
      </c>
      <c r="B138" t="s">
        <v>38</v>
      </c>
      <c r="C138" t="s">
        <v>39</v>
      </c>
      <c r="D138" t="s">
        <v>29</v>
      </c>
      <c r="E138" s="4">
        <v>11</v>
      </c>
      <c r="F138" s="4">
        <v>7</v>
      </c>
      <c r="G138" s="4">
        <v>230</v>
      </c>
      <c r="H138" s="3">
        <v>7.5</v>
      </c>
      <c r="I138" s="3">
        <f t="shared" si="4"/>
        <v>82.5</v>
      </c>
      <c r="J138" s="3">
        <f t="shared" si="5"/>
        <v>312.5</v>
      </c>
      <c r="K138" t="s">
        <v>15</v>
      </c>
      <c r="L138" t="s">
        <v>16</v>
      </c>
      <c r="M138" t="s">
        <v>20</v>
      </c>
    </row>
    <row r="139" spans="1:13">
      <c r="A139" s="2">
        <v>46090</v>
      </c>
      <c r="B139" t="s">
        <v>38</v>
      </c>
      <c r="C139" t="s">
        <v>39</v>
      </c>
      <c r="D139" t="s">
        <v>30</v>
      </c>
      <c r="E139" s="4">
        <v>13</v>
      </c>
      <c r="F139" s="4">
        <v>8</v>
      </c>
      <c r="G139" s="4">
        <v>250</v>
      </c>
      <c r="H139" s="3">
        <v>8</v>
      </c>
      <c r="I139" s="3">
        <f t="shared" si="4"/>
        <v>104</v>
      </c>
      <c r="J139" s="3">
        <f t="shared" si="5"/>
        <v>354</v>
      </c>
      <c r="K139" t="s">
        <v>26</v>
      </c>
      <c r="L139" t="s">
        <v>16</v>
      </c>
      <c r="M139" t="s">
        <v>17</v>
      </c>
    </row>
    <row r="140" spans="1:13">
      <c r="A140" s="2">
        <v>46090</v>
      </c>
      <c r="B140" t="s">
        <v>38</v>
      </c>
      <c r="C140" t="s">
        <v>39</v>
      </c>
      <c r="D140" t="s">
        <v>31</v>
      </c>
      <c r="E140" s="4">
        <v>18</v>
      </c>
      <c r="F140" s="4">
        <v>11</v>
      </c>
      <c r="G140" s="4">
        <v>340</v>
      </c>
      <c r="H140" s="3">
        <v>9</v>
      </c>
      <c r="I140" s="3">
        <f t="shared" si="4"/>
        <v>162</v>
      </c>
      <c r="J140" s="3">
        <f t="shared" si="5"/>
        <v>502</v>
      </c>
      <c r="K140" t="s">
        <v>26</v>
      </c>
      <c r="L140" t="s">
        <v>16</v>
      </c>
      <c r="M140" t="s">
        <v>17</v>
      </c>
    </row>
    <row r="141" spans="1:13">
      <c r="A141" s="2">
        <v>46090</v>
      </c>
      <c r="B141" t="s">
        <v>38</v>
      </c>
      <c r="C141" t="s">
        <v>39</v>
      </c>
      <c r="D141" t="s">
        <v>32</v>
      </c>
      <c r="E141" s="4">
        <v>24</v>
      </c>
      <c r="F141" s="4">
        <v>14</v>
      </c>
      <c r="G141" s="4">
        <v>420</v>
      </c>
      <c r="H141" s="3">
        <v>10</v>
      </c>
      <c r="I141" s="3">
        <f t="shared" si="4"/>
        <v>240</v>
      </c>
      <c r="J141" s="3">
        <f t="shared" si="5"/>
        <v>660</v>
      </c>
      <c r="K141" t="s">
        <v>40</v>
      </c>
      <c r="L141" t="s">
        <v>28</v>
      </c>
      <c r="M141" t="s">
        <v>24</v>
      </c>
    </row>
    <row r="142" spans="1:13">
      <c r="A142" s="2">
        <v>46090</v>
      </c>
      <c r="B142" t="s">
        <v>38</v>
      </c>
      <c r="C142" t="s">
        <v>39</v>
      </c>
      <c r="D142" t="s">
        <v>33</v>
      </c>
      <c r="E142" s="4">
        <v>20</v>
      </c>
      <c r="F142" s="4">
        <v>12</v>
      </c>
      <c r="G142" s="4">
        <v>360</v>
      </c>
      <c r="H142" s="3">
        <v>9.5</v>
      </c>
      <c r="I142" s="3">
        <f t="shared" si="4"/>
        <v>190</v>
      </c>
      <c r="J142" s="3">
        <f t="shared" si="5"/>
        <v>550</v>
      </c>
      <c r="K142" t="s">
        <v>40</v>
      </c>
      <c r="L142" t="s">
        <v>28</v>
      </c>
      <c r="M142" t="s">
        <v>24</v>
      </c>
    </row>
    <row r="143" spans="1:13">
      <c r="A143" s="2">
        <v>46090</v>
      </c>
      <c r="B143" t="s">
        <v>38</v>
      </c>
      <c r="C143" t="s">
        <v>39</v>
      </c>
      <c r="D143" t="s">
        <v>34</v>
      </c>
      <c r="E143" s="4">
        <v>15</v>
      </c>
      <c r="F143" s="4">
        <v>8</v>
      </c>
      <c r="G143" s="4">
        <v>280</v>
      </c>
      <c r="H143" s="3">
        <v>8.5</v>
      </c>
      <c r="I143" s="3">
        <f t="shared" si="4"/>
        <v>127.5</v>
      </c>
      <c r="J143" s="3">
        <f t="shared" si="5"/>
        <v>407.5</v>
      </c>
      <c r="K143" t="s">
        <v>26</v>
      </c>
      <c r="L143" t="s">
        <v>16</v>
      </c>
      <c r="M143" t="s">
        <v>20</v>
      </c>
    </row>
    <row r="144" spans="1:13">
      <c r="A144" s="2">
        <v>46090</v>
      </c>
      <c r="B144" t="s">
        <v>38</v>
      </c>
      <c r="C144" t="s">
        <v>39</v>
      </c>
      <c r="D144" t="s">
        <v>36</v>
      </c>
      <c r="E144" s="4">
        <v>11</v>
      </c>
      <c r="F144" s="4">
        <v>5</v>
      </c>
      <c r="G144" s="4">
        <v>210</v>
      </c>
      <c r="H144" s="3">
        <v>7.5</v>
      </c>
      <c r="I144" s="3">
        <f t="shared" si="4"/>
        <v>82.5</v>
      </c>
      <c r="J144" s="3">
        <f t="shared" si="5"/>
        <v>292.5</v>
      </c>
      <c r="K144" t="s">
        <v>15</v>
      </c>
      <c r="L144" t="s">
        <v>16</v>
      </c>
      <c r="M144" t="s">
        <v>35</v>
      </c>
    </row>
    <row r="145" spans="1:13">
      <c r="A145" s="2">
        <v>46090</v>
      </c>
      <c r="B145" t="s">
        <v>38</v>
      </c>
      <c r="C145" t="s">
        <v>39</v>
      </c>
      <c r="D145" t="s">
        <v>37</v>
      </c>
      <c r="E145" s="4">
        <v>7</v>
      </c>
      <c r="F145" s="4">
        <v>3</v>
      </c>
      <c r="G145" s="4">
        <v>150</v>
      </c>
      <c r="H145" s="3">
        <v>7</v>
      </c>
      <c r="I145" s="3">
        <f t="shared" si="4"/>
        <v>49</v>
      </c>
      <c r="J145" s="3">
        <f t="shared" si="5"/>
        <v>199</v>
      </c>
      <c r="K145" t="s">
        <v>15</v>
      </c>
      <c r="L145" t="s">
        <v>16</v>
      </c>
      <c r="M145" t="s">
        <v>35</v>
      </c>
    </row>
    <row r="146" spans="1:13">
      <c r="A146" s="2">
        <v>46091</v>
      </c>
      <c r="B146" t="s">
        <v>41</v>
      </c>
      <c r="C146" t="s">
        <v>39</v>
      </c>
      <c r="D146" t="s">
        <v>14</v>
      </c>
      <c r="E146" s="4">
        <v>8</v>
      </c>
      <c r="F146" s="4">
        <v>2</v>
      </c>
      <c r="G146" s="4">
        <v>180</v>
      </c>
      <c r="H146" s="3">
        <v>6</v>
      </c>
      <c r="I146" s="3">
        <f t="shared" si="4"/>
        <v>48</v>
      </c>
      <c r="J146" s="3">
        <f t="shared" si="5"/>
        <v>228</v>
      </c>
      <c r="K146" t="s">
        <v>15</v>
      </c>
      <c r="L146" t="s">
        <v>16</v>
      </c>
      <c r="M146" t="s">
        <v>17</v>
      </c>
    </row>
    <row r="147" spans="1:13">
      <c r="A147" s="2">
        <v>46091</v>
      </c>
      <c r="B147" t="s">
        <v>41</v>
      </c>
      <c r="C147" t="s">
        <v>39</v>
      </c>
      <c r="D147" t="s">
        <v>18</v>
      </c>
      <c r="E147" s="4">
        <v>12</v>
      </c>
      <c r="F147" s="4">
        <v>3</v>
      </c>
      <c r="G147" s="4">
        <v>260</v>
      </c>
      <c r="H147" s="3">
        <v>6.5</v>
      </c>
      <c r="I147" s="3">
        <f t="shared" si="4"/>
        <v>78</v>
      </c>
      <c r="J147" s="3">
        <f t="shared" si="5"/>
        <v>338</v>
      </c>
      <c r="K147" t="s">
        <v>15</v>
      </c>
      <c r="L147" t="s">
        <v>16</v>
      </c>
      <c r="M147" t="s">
        <v>17</v>
      </c>
    </row>
    <row r="148" spans="1:13">
      <c r="A148" s="2">
        <v>46091</v>
      </c>
      <c r="B148" t="s">
        <v>41</v>
      </c>
      <c r="C148" t="s">
        <v>39</v>
      </c>
      <c r="D148" t="s">
        <v>19</v>
      </c>
      <c r="E148" s="4">
        <v>15</v>
      </c>
      <c r="F148" s="4">
        <v>4</v>
      </c>
      <c r="G148" s="4">
        <v>310</v>
      </c>
      <c r="H148" s="3">
        <v>7</v>
      </c>
      <c r="I148" s="3">
        <f t="shared" si="4"/>
        <v>105</v>
      </c>
      <c r="J148" s="3">
        <f t="shared" si="5"/>
        <v>415</v>
      </c>
      <c r="K148" t="s">
        <v>15</v>
      </c>
      <c r="L148" t="s">
        <v>16</v>
      </c>
      <c r="M148" t="s">
        <v>17</v>
      </c>
    </row>
    <row r="149" spans="1:13">
      <c r="A149" s="2">
        <v>46091</v>
      </c>
      <c r="B149" t="s">
        <v>41</v>
      </c>
      <c r="C149" t="s">
        <v>39</v>
      </c>
      <c r="D149" t="s">
        <v>21</v>
      </c>
      <c r="E149" s="4">
        <v>10</v>
      </c>
      <c r="F149" s="4">
        <v>3</v>
      </c>
      <c r="G149" s="4">
        <v>220</v>
      </c>
      <c r="H149" s="3">
        <v>7</v>
      </c>
      <c r="I149" s="3">
        <f t="shared" si="4"/>
        <v>70</v>
      </c>
      <c r="J149" s="3">
        <f t="shared" si="5"/>
        <v>290</v>
      </c>
      <c r="K149" t="s">
        <v>15</v>
      </c>
      <c r="L149" t="s">
        <v>16</v>
      </c>
      <c r="M149" t="s">
        <v>20</v>
      </c>
    </row>
    <row r="150" spans="1:13">
      <c r="A150" s="2">
        <v>46091</v>
      </c>
      <c r="B150" t="s">
        <v>41</v>
      </c>
      <c r="C150" t="s">
        <v>39</v>
      </c>
      <c r="D150" t="s">
        <v>22</v>
      </c>
      <c r="E150" s="4">
        <v>9</v>
      </c>
      <c r="F150" s="4">
        <v>4</v>
      </c>
      <c r="G150" s="4">
        <v>200</v>
      </c>
      <c r="H150" s="3">
        <v>7</v>
      </c>
      <c r="I150" s="3">
        <f t="shared" si="4"/>
        <v>63</v>
      </c>
      <c r="J150" s="3">
        <f t="shared" si="5"/>
        <v>263</v>
      </c>
      <c r="K150" t="s">
        <v>15</v>
      </c>
      <c r="L150" t="s">
        <v>16</v>
      </c>
      <c r="M150" t="s">
        <v>20</v>
      </c>
    </row>
    <row r="151" spans="1:13">
      <c r="A151" s="2">
        <v>46091</v>
      </c>
      <c r="B151" t="s">
        <v>41</v>
      </c>
      <c r="C151" t="s">
        <v>39</v>
      </c>
      <c r="D151" t="s">
        <v>23</v>
      </c>
      <c r="E151" s="4">
        <v>12</v>
      </c>
      <c r="F151" s="4">
        <v>7</v>
      </c>
      <c r="G151" s="4">
        <v>240</v>
      </c>
      <c r="H151" s="3">
        <v>8</v>
      </c>
      <c r="I151" s="3">
        <f t="shared" si="4"/>
        <v>96</v>
      </c>
      <c r="J151" s="3">
        <f t="shared" si="5"/>
        <v>336</v>
      </c>
      <c r="K151" t="s">
        <v>26</v>
      </c>
      <c r="L151" t="s">
        <v>16</v>
      </c>
      <c r="M151" t="s">
        <v>24</v>
      </c>
    </row>
    <row r="152" spans="1:13">
      <c r="A152" s="2">
        <v>46091</v>
      </c>
      <c r="B152" t="s">
        <v>41</v>
      </c>
      <c r="C152" t="s">
        <v>39</v>
      </c>
      <c r="D152" t="s">
        <v>25</v>
      </c>
      <c r="E152" s="4">
        <v>16</v>
      </c>
      <c r="F152" s="4">
        <v>10</v>
      </c>
      <c r="G152" s="4">
        <v>300</v>
      </c>
      <c r="H152" s="3">
        <v>9</v>
      </c>
      <c r="I152" s="3">
        <f t="shared" si="4"/>
        <v>144</v>
      </c>
      <c r="J152" s="3">
        <f t="shared" si="5"/>
        <v>444</v>
      </c>
      <c r="K152" t="s">
        <v>26</v>
      </c>
      <c r="L152" t="s">
        <v>16</v>
      </c>
      <c r="M152" t="s">
        <v>24</v>
      </c>
    </row>
    <row r="153" spans="1:13">
      <c r="A153" s="2">
        <v>46091</v>
      </c>
      <c r="B153" t="s">
        <v>41</v>
      </c>
      <c r="C153" t="s">
        <v>39</v>
      </c>
      <c r="D153" t="s">
        <v>27</v>
      </c>
      <c r="E153" s="4">
        <v>14</v>
      </c>
      <c r="F153" s="4">
        <v>9</v>
      </c>
      <c r="G153" s="4">
        <v>280</v>
      </c>
      <c r="H153" s="3">
        <v>8.5</v>
      </c>
      <c r="I153" s="3">
        <f t="shared" si="4"/>
        <v>119</v>
      </c>
      <c r="J153" s="3">
        <f t="shared" si="5"/>
        <v>399</v>
      </c>
      <c r="K153" t="s">
        <v>26</v>
      </c>
      <c r="L153" t="s">
        <v>16</v>
      </c>
      <c r="M153" t="s">
        <v>24</v>
      </c>
    </row>
    <row r="154" spans="1:13">
      <c r="A154" s="2">
        <v>46091</v>
      </c>
      <c r="B154" t="s">
        <v>41</v>
      </c>
      <c r="C154" t="s">
        <v>39</v>
      </c>
      <c r="D154" t="s">
        <v>29</v>
      </c>
      <c r="E154" s="4">
        <v>11</v>
      </c>
      <c r="F154" s="4">
        <v>7</v>
      </c>
      <c r="G154" s="4">
        <v>230</v>
      </c>
      <c r="H154" s="3">
        <v>7.5</v>
      </c>
      <c r="I154" s="3">
        <f t="shared" si="4"/>
        <v>82.5</v>
      </c>
      <c r="J154" s="3">
        <f t="shared" si="5"/>
        <v>312.5</v>
      </c>
      <c r="K154" t="s">
        <v>15</v>
      </c>
      <c r="L154" t="s">
        <v>16</v>
      </c>
      <c r="M154" t="s">
        <v>20</v>
      </c>
    </row>
    <row r="155" spans="1:13">
      <c r="A155" s="2">
        <v>46091</v>
      </c>
      <c r="B155" t="s">
        <v>41</v>
      </c>
      <c r="C155" t="s">
        <v>39</v>
      </c>
      <c r="D155" t="s">
        <v>30</v>
      </c>
      <c r="E155" s="4">
        <v>13</v>
      </c>
      <c r="F155" s="4">
        <v>8</v>
      </c>
      <c r="G155" s="4">
        <v>250</v>
      </c>
      <c r="H155" s="3">
        <v>8</v>
      </c>
      <c r="I155" s="3">
        <f t="shared" si="4"/>
        <v>104</v>
      </c>
      <c r="J155" s="3">
        <f t="shared" si="5"/>
        <v>354</v>
      </c>
      <c r="K155" t="s">
        <v>26</v>
      </c>
      <c r="L155" t="s">
        <v>16</v>
      </c>
      <c r="M155" t="s">
        <v>17</v>
      </c>
    </row>
    <row r="156" spans="1:13">
      <c r="A156" s="2">
        <v>46091</v>
      </c>
      <c r="B156" t="s">
        <v>41</v>
      </c>
      <c r="C156" t="s">
        <v>39</v>
      </c>
      <c r="D156" t="s">
        <v>31</v>
      </c>
      <c r="E156" s="4">
        <v>18</v>
      </c>
      <c r="F156" s="4">
        <v>11</v>
      </c>
      <c r="G156" s="4">
        <v>340</v>
      </c>
      <c r="H156" s="3">
        <v>9</v>
      </c>
      <c r="I156" s="3">
        <f t="shared" si="4"/>
        <v>162</v>
      </c>
      <c r="J156" s="3">
        <f t="shared" si="5"/>
        <v>502</v>
      </c>
      <c r="K156" t="s">
        <v>26</v>
      </c>
      <c r="L156" t="s">
        <v>16</v>
      </c>
      <c r="M156" t="s">
        <v>17</v>
      </c>
    </row>
    <row r="157" spans="1:13">
      <c r="A157" s="2">
        <v>46091</v>
      </c>
      <c r="B157" t="s">
        <v>41</v>
      </c>
      <c r="C157" t="s">
        <v>39</v>
      </c>
      <c r="D157" t="s">
        <v>32</v>
      </c>
      <c r="E157" s="4">
        <v>24</v>
      </c>
      <c r="F157" s="4">
        <v>14</v>
      </c>
      <c r="G157" s="4">
        <v>420</v>
      </c>
      <c r="H157" s="3">
        <v>10</v>
      </c>
      <c r="I157" s="3">
        <f t="shared" si="4"/>
        <v>240</v>
      </c>
      <c r="J157" s="3">
        <f t="shared" si="5"/>
        <v>660</v>
      </c>
      <c r="K157" t="s">
        <v>40</v>
      </c>
      <c r="L157" t="s">
        <v>28</v>
      </c>
      <c r="M157" t="s">
        <v>24</v>
      </c>
    </row>
    <row r="158" spans="1:13">
      <c r="A158" s="2">
        <v>46091</v>
      </c>
      <c r="B158" t="s">
        <v>41</v>
      </c>
      <c r="C158" t="s">
        <v>39</v>
      </c>
      <c r="D158" t="s">
        <v>33</v>
      </c>
      <c r="E158" s="4">
        <v>20</v>
      </c>
      <c r="F158" s="4">
        <v>12</v>
      </c>
      <c r="G158" s="4">
        <v>360</v>
      </c>
      <c r="H158" s="3">
        <v>9.5</v>
      </c>
      <c r="I158" s="3">
        <f t="shared" si="4"/>
        <v>190</v>
      </c>
      <c r="J158" s="3">
        <f t="shared" si="5"/>
        <v>550</v>
      </c>
      <c r="K158" t="s">
        <v>40</v>
      </c>
      <c r="L158" t="s">
        <v>28</v>
      </c>
      <c r="M158" t="s">
        <v>24</v>
      </c>
    </row>
    <row r="159" spans="1:13">
      <c r="A159" s="2">
        <v>46091</v>
      </c>
      <c r="B159" t="s">
        <v>41</v>
      </c>
      <c r="C159" t="s">
        <v>39</v>
      </c>
      <c r="D159" t="s">
        <v>34</v>
      </c>
      <c r="E159" s="4">
        <v>15</v>
      </c>
      <c r="F159" s="4">
        <v>8</v>
      </c>
      <c r="G159" s="4">
        <v>280</v>
      </c>
      <c r="H159" s="3">
        <v>8.5</v>
      </c>
      <c r="I159" s="3">
        <f t="shared" si="4"/>
        <v>127.5</v>
      </c>
      <c r="J159" s="3">
        <f t="shared" si="5"/>
        <v>407.5</v>
      </c>
      <c r="K159" t="s">
        <v>26</v>
      </c>
      <c r="L159" t="s">
        <v>16</v>
      </c>
      <c r="M159" t="s">
        <v>20</v>
      </c>
    </row>
    <row r="160" spans="1:13">
      <c r="A160" s="2">
        <v>46091</v>
      </c>
      <c r="B160" t="s">
        <v>41</v>
      </c>
      <c r="C160" t="s">
        <v>39</v>
      </c>
      <c r="D160" t="s">
        <v>36</v>
      </c>
      <c r="E160" s="4">
        <v>11</v>
      </c>
      <c r="F160" s="4">
        <v>5</v>
      </c>
      <c r="G160" s="4">
        <v>210</v>
      </c>
      <c r="H160" s="3">
        <v>7.5</v>
      </c>
      <c r="I160" s="3">
        <f t="shared" si="4"/>
        <v>82.5</v>
      </c>
      <c r="J160" s="3">
        <f t="shared" si="5"/>
        <v>292.5</v>
      </c>
      <c r="K160" t="s">
        <v>15</v>
      </c>
      <c r="L160" t="s">
        <v>16</v>
      </c>
      <c r="M160" t="s">
        <v>35</v>
      </c>
    </row>
    <row r="161" spans="1:13">
      <c r="A161" s="2">
        <v>46091</v>
      </c>
      <c r="B161" t="s">
        <v>41</v>
      </c>
      <c r="C161" t="s">
        <v>39</v>
      </c>
      <c r="D161" t="s">
        <v>37</v>
      </c>
      <c r="E161" s="4">
        <v>7</v>
      </c>
      <c r="F161" s="4">
        <v>3</v>
      </c>
      <c r="G161" s="4">
        <v>150</v>
      </c>
      <c r="H161" s="3">
        <v>7</v>
      </c>
      <c r="I161" s="3">
        <f t="shared" si="4"/>
        <v>49</v>
      </c>
      <c r="J161" s="3">
        <f t="shared" si="5"/>
        <v>199</v>
      </c>
      <c r="K161" t="s">
        <v>15</v>
      </c>
      <c r="L161" t="s">
        <v>16</v>
      </c>
      <c r="M161" t="s">
        <v>35</v>
      </c>
    </row>
    <row r="162" spans="1:13">
      <c r="A162" s="2">
        <v>46092</v>
      </c>
      <c r="B162" t="s">
        <v>42</v>
      </c>
      <c r="C162" t="s">
        <v>39</v>
      </c>
      <c r="D162" t="s">
        <v>14</v>
      </c>
      <c r="E162" s="4">
        <v>8</v>
      </c>
      <c r="F162" s="4">
        <v>2</v>
      </c>
      <c r="G162" s="4">
        <v>180</v>
      </c>
      <c r="H162" s="3">
        <v>6</v>
      </c>
      <c r="I162" s="3">
        <f t="shared" si="4"/>
        <v>48</v>
      </c>
      <c r="J162" s="3">
        <f t="shared" si="5"/>
        <v>228</v>
      </c>
      <c r="K162" t="s">
        <v>15</v>
      </c>
      <c r="L162" t="s">
        <v>16</v>
      </c>
      <c r="M162" t="s">
        <v>17</v>
      </c>
    </row>
    <row r="163" spans="1:13">
      <c r="A163" s="2">
        <v>46092</v>
      </c>
      <c r="B163" t="s">
        <v>42</v>
      </c>
      <c r="C163" t="s">
        <v>39</v>
      </c>
      <c r="D163" t="s">
        <v>18</v>
      </c>
      <c r="E163" s="4">
        <v>12</v>
      </c>
      <c r="F163" s="4">
        <v>3</v>
      </c>
      <c r="G163" s="4">
        <v>260</v>
      </c>
      <c r="H163" s="3">
        <v>6.5</v>
      </c>
      <c r="I163" s="3">
        <f t="shared" si="4"/>
        <v>78</v>
      </c>
      <c r="J163" s="3">
        <f t="shared" si="5"/>
        <v>338</v>
      </c>
      <c r="K163" t="s">
        <v>15</v>
      </c>
      <c r="L163" t="s">
        <v>16</v>
      </c>
      <c r="M163" t="s">
        <v>17</v>
      </c>
    </row>
    <row r="164" spans="1:13">
      <c r="A164" s="2">
        <v>46092</v>
      </c>
      <c r="B164" t="s">
        <v>42</v>
      </c>
      <c r="C164" t="s">
        <v>39</v>
      </c>
      <c r="D164" t="s">
        <v>19</v>
      </c>
      <c r="E164" s="4">
        <v>15</v>
      </c>
      <c r="F164" s="4">
        <v>4</v>
      </c>
      <c r="G164" s="4">
        <v>310</v>
      </c>
      <c r="H164" s="3">
        <v>7</v>
      </c>
      <c r="I164" s="3">
        <f t="shared" si="4"/>
        <v>105</v>
      </c>
      <c r="J164" s="3">
        <f t="shared" si="5"/>
        <v>415</v>
      </c>
      <c r="K164" t="s">
        <v>15</v>
      </c>
      <c r="L164" t="s">
        <v>16</v>
      </c>
      <c r="M164" t="s">
        <v>17</v>
      </c>
    </row>
    <row r="165" spans="1:13">
      <c r="A165" s="2">
        <v>46092</v>
      </c>
      <c r="B165" t="s">
        <v>42</v>
      </c>
      <c r="C165" t="s">
        <v>39</v>
      </c>
      <c r="D165" t="s">
        <v>21</v>
      </c>
      <c r="E165" s="4">
        <v>10</v>
      </c>
      <c r="F165" s="4">
        <v>3</v>
      </c>
      <c r="G165" s="4">
        <v>220</v>
      </c>
      <c r="H165" s="3">
        <v>7</v>
      </c>
      <c r="I165" s="3">
        <f t="shared" si="4"/>
        <v>70</v>
      </c>
      <c r="J165" s="3">
        <f t="shared" si="5"/>
        <v>290</v>
      </c>
      <c r="K165" t="s">
        <v>15</v>
      </c>
      <c r="L165" t="s">
        <v>16</v>
      </c>
      <c r="M165" t="s">
        <v>20</v>
      </c>
    </row>
    <row r="166" spans="1:13">
      <c r="A166" s="2">
        <v>46092</v>
      </c>
      <c r="B166" t="s">
        <v>42</v>
      </c>
      <c r="C166" t="s">
        <v>39</v>
      </c>
      <c r="D166" t="s">
        <v>22</v>
      </c>
      <c r="E166" s="4">
        <v>9</v>
      </c>
      <c r="F166" s="4">
        <v>4</v>
      </c>
      <c r="G166" s="4">
        <v>200</v>
      </c>
      <c r="H166" s="3">
        <v>7</v>
      </c>
      <c r="I166" s="3">
        <f t="shared" si="4"/>
        <v>63</v>
      </c>
      <c r="J166" s="3">
        <f t="shared" si="5"/>
        <v>263</v>
      </c>
      <c r="K166" t="s">
        <v>15</v>
      </c>
      <c r="L166" t="s">
        <v>16</v>
      </c>
      <c r="M166" t="s">
        <v>20</v>
      </c>
    </row>
    <row r="167" spans="1:13">
      <c r="A167" s="2">
        <v>46092</v>
      </c>
      <c r="B167" t="s">
        <v>42</v>
      </c>
      <c r="C167" t="s">
        <v>39</v>
      </c>
      <c r="D167" t="s">
        <v>23</v>
      </c>
      <c r="E167" s="4">
        <v>12</v>
      </c>
      <c r="F167" s="4">
        <v>7</v>
      </c>
      <c r="G167" s="4">
        <v>240</v>
      </c>
      <c r="H167" s="3">
        <v>8</v>
      </c>
      <c r="I167" s="3">
        <f t="shared" si="4"/>
        <v>96</v>
      </c>
      <c r="J167" s="3">
        <f t="shared" si="5"/>
        <v>336</v>
      </c>
      <c r="K167" t="s">
        <v>26</v>
      </c>
      <c r="L167" t="s">
        <v>16</v>
      </c>
      <c r="M167" t="s">
        <v>24</v>
      </c>
    </row>
    <row r="168" spans="1:13">
      <c r="A168" s="2">
        <v>46092</v>
      </c>
      <c r="B168" t="s">
        <v>42</v>
      </c>
      <c r="C168" t="s">
        <v>39</v>
      </c>
      <c r="D168" t="s">
        <v>25</v>
      </c>
      <c r="E168" s="4">
        <v>16</v>
      </c>
      <c r="F168" s="4">
        <v>10</v>
      </c>
      <c r="G168" s="4">
        <v>300</v>
      </c>
      <c r="H168" s="3">
        <v>9</v>
      </c>
      <c r="I168" s="3">
        <f t="shared" si="4"/>
        <v>144</v>
      </c>
      <c r="J168" s="3">
        <f t="shared" si="5"/>
        <v>444</v>
      </c>
      <c r="K168" t="s">
        <v>26</v>
      </c>
      <c r="L168" t="s">
        <v>16</v>
      </c>
      <c r="M168" t="s">
        <v>24</v>
      </c>
    </row>
    <row r="169" spans="1:13">
      <c r="A169" s="2">
        <v>46092</v>
      </c>
      <c r="B169" t="s">
        <v>42</v>
      </c>
      <c r="C169" t="s">
        <v>39</v>
      </c>
      <c r="D169" t="s">
        <v>27</v>
      </c>
      <c r="E169" s="4">
        <v>14</v>
      </c>
      <c r="F169" s="4">
        <v>9</v>
      </c>
      <c r="G169" s="4">
        <v>280</v>
      </c>
      <c r="H169" s="3">
        <v>8.5</v>
      </c>
      <c r="I169" s="3">
        <f t="shared" si="4"/>
        <v>119</v>
      </c>
      <c r="J169" s="3">
        <f t="shared" si="5"/>
        <v>399</v>
      </c>
      <c r="K169" t="s">
        <v>26</v>
      </c>
      <c r="L169" t="s">
        <v>16</v>
      </c>
      <c r="M169" t="s">
        <v>24</v>
      </c>
    </row>
    <row r="170" spans="1:13">
      <c r="A170" s="2">
        <v>46092</v>
      </c>
      <c r="B170" t="s">
        <v>42</v>
      </c>
      <c r="C170" t="s">
        <v>39</v>
      </c>
      <c r="D170" t="s">
        <v>29</v>
      </c>
      <c r="E170" s="4">
        <v>11</v>
      </c>
      <c r="F170" s="4">
        <v>7</v>
      </c>
      <c r="G170" s="4">
        <v>230</v>
      </c>
      <c r="H170" s="3">
        <v>7.5</v>
      </c>
      <c r="I170" s="3">
        <f t="shared" si="4"/>
        <v>82.5</v>
      </c>
      <c r="J170" s="3">
        <f t="shared" si="5"/>
        <v>312.5</v>
      </c>
      <c r="K170" t="s">
        <v>15</v>
      </c>
      <c r="L170" t="s">
        <v>16</v>
      </c>
      <c r="M170" t="s">
        <v>20</v>
      </c>
    </row>
    <row r="171" spans="1:13">
      <c r="A171" s="2">
        <v>46092</v>
      </c>
      <c r="B171" t="s">
        <v>42</v>
      </c>
      <c r="C171" t="s">
        <v>39</v>
      </c>
      <c r="D171" t="s">
        <v>30</v>
      </c>
      <c r="E171" s="4">
        <v>13</v>
      </c>
      <c r="F171" s="4">
        <v>8</v>
      </c>
      <c r="G171" s="4">
        <v>250</v>
      </c>
      <c r="H171" s="3">
        <v>8</v>
      </c>
      <c r="I171" s="3">
        <f t="shared" si="4"/>
        <v>104</v>
      </c>
      <c r="J171" s="3">
        <f t="shared" si="5"/>
        <v>354</v>
      </c>
      <c r="K171" t="s">
        <v>26</v>
      </c>
      <c r="L171" t="s">
        <v>16</v>
      </c>
      <c r="M171" t="s">
        <v>17</v>
      </c>
    </row>
    <row r="172" spans="1:13">
      <c r="A172" s="2">
        <v>46092</v>
      </c>
      <c r="B172" t="s">
        <v>42</v>
      </c>
      <c r="C172" t="s">
        <v>39</v>
      </c>
      <c r="D172" t="s">
        <v>31</v>
      </c>
      <c r="E172" s="4">
        <v>18</v>
      </c>
      <c r="F172" s="4">
        <v>11</v>
      </c>
      <c r="G172" s="4">
        <v>340</v>
      </c>
      <c r="H172" s="3">
        <v>9</v>
      </c>
      <c r="I172" s="3">
        <f t="shared" si="4"/>
        <v>162</v>
      </c>
      <c r="J172" s="3">
        <f t="shared" si="5"/>
        <v>502</v>
      </c>
      <c r="K172" t="s">
        <v>26</v>
      </c>
      <c r="L172" t="s">
        <v>16</v>
      </c>
      <c r="M172" t="s">
        <v>17</v>
      </c>
    </row>
    <row r="173" spans="1:13">
      <c r="A173" s="2">
        <v>46092</v>
      </c>
      <c r="B173" t="s">
        <v>42</v>
      </c>
      <c r="C173" t="s">
        <v>39</v>
      </c>
      <c r="D173" t="s">
        <v>32</v>
      </c>
      <c r="E173" s="4">
        <v>24</v>
      </c>
      <c r="F173" s="4">
        <v>14</v>
      </c>
      <c r="G173" s="4">
        <v>420</v>
      </c>
      <c r="H173" s="3">
        <v>10</v>
      </c>
      <c r="I173" s="3">
        <f t="shared" si="4"/>
        <v>240</v>
      </c>
      <c r="J173" s="3">
        <f t="shared" si="5"/>
        <v>660</v>
      </c>
      <c r="K173" t="s">
        <v>40</v>
      </c>
      <c r="L173" t="s">
        <v>28</v>
      </c>
      <c r="M173" t="s">
        <v>24</v>
      </c>
    </row>
    <row r="174" spans="1:13">
      <c r="A174" s="2">
        <v>46092</v>
      </c>
      <c r="B174" t="s">
        <v>42</v>
      </c>
      <c r="C174" t="s">
        <v>39</v>
      </c>
      <c r="D174" t="s">
        <v>33</v>
      </c>
      <c r="E174" s="4">
        <v>20</v>
      </c>
      <c r="F174" s="4">
        <v>12</v>
      </c>
      <c r="G174" s="4">
        <v>360</v>
      </c>
      <c r="H174" s="3">
        <v>9.5</v>
      </c>
      <c r="I174" s="3">
        <f t="shared" si="4"/>
        <v>190</v>
      </c>
      <c r="J174" s="3">
        <f t="shared" si="5"/>
        <v>550</v>
      </c>
      <c r="K174" t="s">
        <v>40</v>
      </c>
      <c r="L174" t="s">
        <v>28</v>
      </c>
      <c r="M174" t="s">
        <v>24</v>
      </c>
    </row>
    <row r="175" spans="1:13">
      <c r="A175" s="2">
        <v>46092</v>
      </c>
      <c r="B175" t="s">
        <v>42</v>
      </c>
      <c r="C175" t="s">
        <v>39</v>
      </c>
      <c r="D175" t="s">
        <v>34</v>
      </c>
      <c r="E175" s="4">
        <v>15</v>
      </c>
      <c r="F175" s="4">
        <v>8</v>
      </c>
      <c r="G175" s="4">
        <v>280</v>
      </c>
      <c r="H175" s="3">
        <v>8.5</v>
      </c>
      <c r="I175" s="3">
        <f t="shared" si="4"/>
        <v>127.5</v>
      </c>
      <c r="J175" s="3">
        <f t="shared" si="5"/>
        <v>407.5</v>
      </c>
      <c r="K175" t="s">
        <v>26</v>
      </c>
      <c r="L175" t="s">
        <v>16</v>
      </c>
      <c r="M175" t="s">
        <v>20</v>
      </c>
    </row>
    <row r="176" spans="1:13">
      <c r="A176" s="2">
        <v>46092</v>
      </c>
      <c r="B176" t="s">
        <v>42</v>
      </c>
      <c r="C176" t="s">
        <v>39</v>
      </c>
      <c r="D176" t="s">
        <v>36</v>
      </c>
      <c r="E176" s="4">
        <v>11</v>
      </c>
      <c r="F176" s="4">
        <v>5</v>
      </c>
      <c r="G176" s="4">
        <v>210</v>
      </c>
      <c r="H176" s="3">
        <v>7.5</v>
      </c>
      <c r="I176" s="3">
        <f t="shared" si="4"/>
        <v>82.5</v>
      </c>
      <c r="J176" s="3">
        <f t="shared" si="5"/>
        <v>292.5</v>
      </c>
      <c r="K176" t="s">
        <v>15</v>
      </c>
      <c r="L176" t="s">
        <v>16</v>
      </c>
      <c r="M176" t="s">
        <v>35</v>
      </c>
    </row>
    <row r="177" spans="1:13">
      <c r="A177" s="2">
        <v>46092</v>
      </c>
      <c r="B177" t="s">
        <v>42</v>
      </c>
      <c r="C177" t="s">
        <v>39</v>
      </c>
      <c r="D177" t="s">
        <v>37</v>
      </c>
      <c r="E177" s="4">
        <v>7</v>
      </c>
      <c r="F177" s="4">
        <v>3</v>
      </c>
      <c r="G177" s="4">
        <v>150</v>
      </c>
      <c r="H177" s="3">
        <v>7</v>
      </c>
      <c r="I177" s="3">
        <f t="shared" si="4"/>
        <v>49</v>
      </c>
      <c r="J177" s="3">
        <f t="shared" si="5"/>
        <v>199</v>
      </c>
      <c r="K177" t="s">
        <v>15</v>
      </c>
      <c r="L177" t="s">
        <v>16</v>
      </c>
      <c r="M177" t="s">
        <v>35</v>
      </c>
    </row>
    <row r="178" spans="1:13">
      <c r="A178" s="2">
        <v>46093</v>
      </c>
      <c r="B178" t="s">
        <v>43</v>
      </c>
      <c r="C178" t="s">
        <v>39</v>
      </c>
      <c r="D178" t="s">
        <v>14</v>
      </c>
      <c r="E178" s="4">
        <v>8</v>
      </c>
      <c r="F178" s="4">
        <v>2</v>
      </c>
      <c r="G178" s="4">
        <v>180</v>
      </c>
      <c r="H178" s="3">
        <v>6</v>
      </c>
      <c r="I178" s="3">
        <f t="shared" si="4"/>
        <v>48</v>
      </c>
      <c r="J178" s="3">
        <f t="shared" si="5"/>
        <v>228</v>
      </c>
      <c r="K178" t="s">
        <v>15</v>
      </c>
      <c r="L178" t="s">
        <v>16</v>
      </c>
      <c r="M178" t="s">
        <v>17</v>
      </c>
    </row>
    <row r="179" spans="1:13">
      <c r="A179" s="2">
        <v>46093</v>
      </c>
      <c r="B179" t="s">
        <v>43</v>
      </c>
      <c r="C179" t="s">
        <v>39</v>
      </c>
      <c r="D179" t="s">
        <v>18</v>
      </c>
      <c r="E179" s="4">
        <v>12</v>
      </c>
      <c r="F179" s="4">
        <v>3</v>
      </c>
      <c r="G179" s="4">
        <v>260</v>
      </c>
      <c r="H179" s="3">
        <v>6.5</v>
      </c>
      <c r="I179" s="3">
        <f t="shared" si="4"/>
        <v>78</v>
      </c>
      <c r="J179" s="3">
        <f t="shared" si="5"/>
        <v>338</v>
      </c>
      <c r="K179" t="s">
        <v>15</v>
      </c>
      <c r="L179" t="s">
        <v>16</v>
      </c>
      <c r="M179" t="s">
        <v>17</v>
      </c>
    </row>
    <row r="180" spans="1:13">
      <c r="A180" s="2">
        <v>46093</v>
      </c>
      <c r="B180" t="s">
        <v>43</v>
      </c>
      <c r="C180" t="s">
        <v>39</v>
      </c>
      <c r="D180" t="s">
        <v>19</v>
      </c>
      <c r="E180" s="4">
        <v>15</v>
      </c>
      <c r="F180" s="4">
        <v>4</v>
      </c>
      <c r="G180" s="4">
        <v>310</v>
      </c>
      <c r="H180" s="3">
        <v>7</v>
      </c>
      <c r="I180" s="3">
        <f t="shared" si="4"/>
        <v>105</v>
      </c>
      <c r="J180" s="3">
        <f t="shared" si="5"/>
        <v>415</v>
      </c>
      <c r="K180" t="s">
        <v>15</v>
      </c>
      <c r="L180" t="s">
        <v>16</v>
      </c>
      <c r="M180" t="s">
        <v>17</v>
      </c>
    </row>
    <row r="181" spans="1:13">
      <c r="A181" s="2">
        <v>46093</v>
      </c>
      <c r="B181" t="s">
        <v>43</v>
      </c>
      <c r="C181" t="s">
        <v>39</v>
      </c>
      <c r="D181" t="s">
        <v>21</v>
      </c>
      <c r="E181" s="4">
        <v>10</v>
      </c>
      <c r="F181" s="4">
        <v>3</v>
      </c>
      <c r="G181" s="4">
        <v>220</v>
      </c>
      <c r="H181" s="3">
        <v>7</v>
      </c>
      <c r="I181" s="3">
        <f t="shared" si="4"/>
        <v>70</v>
      </c>
      <c r="J181" s="3">
        <f t="shared" si="5"/>
        <v>290</v>
      </c>
      <c r="K181" t="s">
        <v>15</v>
      </c>
      <c r="L181" t="s">
        <v>16</v>
      </c>
      <c r="M181" t="s">
        <v>20</v>
      </c>
    </row>
    <row r="182" spans="1:13">
      <c r="A182" s="2">
        <v>46093</v>
      </c>
      <c r="B182" t="s">
        <v>43</v>
      </c>
      <c r="C182" t="s">
        <v>39</v>
      </c>
      <c r="D182" t="s">
        <v>22</v>
      </c>
      <c r="E182" s="4">
        <v>9</v>
      </c>
      <c r="F182" s="4">
        <v>4</v>
      </c>
      <c r="G182" s="4">
        <v>200</v>
      </c>
      <c r="H182" s="3">
        <v>7</v>
      </c>
      <c r="I182" s="3">
        <f t="shared" si="4"/>
        <v>63</v>
      </c>
      <c r="J182" s="3">
        <f t="shared" si="5"/>
        <v>263</v>
      </c>
      <c r="K182" t="s">
        <v>15</v>
      </c>
      <c r="L182" t="s">
        <v>16</v>
      </c>
      <c r="M182" t="s">
        <v>20</v>
      </c>
    </row>
    <row r="183" spans="1:13">
      <c r="A183" s="2">
        <v>46093</v>
      </c>
      <c r="B183" t="s">
        <v>43</v>
      </c>
      <c r="C183" t="s">
        <v>39</v>
      </c>
      <c r="D183" t="s">
        <v>23</v>
      </c>
      <c r="E183" s="4">
        <v>12</v>
      </c>
      <c r="F183" s="4">
        <v>7</v>
      </c>
      <c r="G183" s="4">
        <v>240</v>
      </c>
      <c r="H183" s="3">
        <v>8</v>
      </c>
      <c r="I183" s="3">
        <f t="shared" si="4"/>
        <v>96</v>
      </c>
      <c r="J183" s="3">
        <f t="shared" si="5"/>
        <v>336</v>
      </c>
      <c r="K183" t="s">
        <v>26</v>
      </c>
      <c r="L183" t="s">
        <v>16</v>
      </c>
      <c r="M183" t="s">
        <v>24</v>
      </c>
    </row>
    <row r="184" spans="1:13">
      <c r="A184" s="2">
        <v>46093</v>
      </c>
      <c r="B184" t="s">
        <v>43</v>
      </c>
      <c r="C184" t="s">
        <v>39</v>
      </c>
      <c r="D184" t="s">
        <v>25</v>
      </c>
      <c r="E184" s="4">
        <v>16</v>
      </c>
      <c r="F184" s="4">
        <v>10</v>
      </c>
      <c r="G184" s="4">
        <v>300</v>
      </c>
      <c r="H184" s="3">
        <v>9</v>
      </c>
      <c r="I184" s="3">
        <f t="shared" si="4"/>
        <v>144</v>
      </c>
      <c r="J184" s="3">
        <f t="shared" si="5"/>
        <v>444</v>
      </c>
      <c r="K184" t="s">
        <v>26</v>
      </c>
      <c r="L184" t="s">
        <v>16</v>
      </c>
      <c r="M184" t="s">
        <v>24</v>
      </c>
    </row>
    <row r="185" spans="1:13">
      <c r="A185" s="2">
        <v>46093</v>
      </c>
      <c r="B185" t="s">
        <v>43</v>
      </c>
      <c r="C185" t="s">
        <v>39</v>
      </c>
      <c r="D185" t="s">
        <v>27</v>
      </c>
      <c r="E185" s="4">
        <v>14</v>
      </c>
      <c r="F185" s="4">
        <v>9</v>
      </c>
      <c r="G185" s="4">
        <v>280</v>
      </c>
      <c r="H185" s="3">
        <v>8.5</v>
      </c>
      <c r="I185" s="3">
        <f t="shared" si="4"/>
        <v>119</v>
      </c>
      <c r="J185" s="3">
        <f t="shared" si="5"/>
        <v>399</v>
      </c>
      <c r="K185" t="s">
        <v>26</v>
      </c>
      <c r="L185" t="s">
        <v>16</v>
      </c>
      <c r="M185" t="s">
        <v>24</v>
      </c>
    </row>
    <row r="186" spans="1:13">
      <c r="A186" s="2">
        <v>46093</v>
      </c>
      <c r="B186" t="s">
        <v>43</v>
      </c>
      <c r="C186" t="s">
        <v>39</v>
      </c>
      <c r="D186" t="s">
        <v>29</v>
      </c>
      <c r="E186" s="4">
        <v>11</v>
      </c>
      <c r="F186" s="4">
        <v>7</v>
      </c>
      <c r="G186" s="4">
        <v>230</v>
      </c>
      <c r="H186" s="3">
        <v>7.5</v>
      </c>
      <c r="I186" s="3">
        <f t="shared" si="4"/>
        <v>82.5</v>
      </c>
      <c r="J186" s="3">
        <f t="shared" si="5"/>
        <v>312.5</v>
      </c>
      <c r="K186" t="s">
        <v>15</v>
      </c>
      <c r="L186" t="s">
        <v>16</v>
      </c>
      <c r="M186" t="s">
        <v>20</v>
      </c>
    </row>
    <row r="187" spans="1:13">
      <c r="A187" s="2">
        <v>46093</v>
      </c>
      <c r="B187" t="s">
        <v>43</v>
      </c>
      <c r="C187" t="s">
        <v>39</v>
      </c>
      <c r="D187" t="s">
        <v>30</v>
      </c>
      <c r="E187" s="4">
        <v>13</v>
      </c>
      <c r="F187" s="4">
        <v>8</v>
      </c>
      <c r="G187" s="4">
        <v>250</v>
      </c>
      <c r="H187" s="3">
        <v>8</v>
      </c>
      <c r="I187" s="3">
        <f t="shared" si="4"/>
        <v>104</v>
      </c>
      <c r="J187" s="3">
        <f t="shared" si="5"/>
        <v>354</v>
      </c>
      <c r="K187" t="s">
        <v>26</v>
      </c>
      <c r="L187" t="s">
        <v>16</v>
      </c>
      <c r="M187" t="s">
        <v>17</v>
      </c>
    </row>
    <row r="188" spans="1:13">
      <c r="A188" s="2">
        <v>46093</v>
      </c>
      <c r="B188" t="s">
        <v>43</v>
      </c>
      <c r="C188" t="s">
        <v>39</v>
      </c>
      <c r="D188" t="s">
        <v>31</v>
      </c>
      <c r="E188" s="4">
        <v>18</v>
      </c>
      <c r="F188" s="4">
        <v>11</v>
      </c>
      <c r="G188" s="4">
        <v>340</v>
      </c>
      <c r="H188" s="3">
        <v>9</v>
      </c>
      <c r="I188" s="3">
        <f t="shared" si="4"/>
        <v>162</v>
      </c>
      <c r="J188" s="3">
        <f t="shared" si="5"/>
        <v>502</v>
      </c>
      <c r="K188" t="s">
        <v>26</v>
      </c>
      <c r="L188" t="s">
        <v>16</v>
      </c>
      <c r="M188" t="s">
        <v>17</v>
      </c>
    </row>
    <row r="189" spans="1:13">
      <c r="A189" s="2">
        <v>46093</v>
      </c>
      <c r="B189" t="s">
        <v>43</v>
      </c>
      <c r="C189" t="s">
        <v>39</v>
      </c>
      <c r="D189" t="s">
        <v>32</v>
      </c>
      <c r="E189" s="4">
        <v>24</v>
      </c>
      <c r="F189" s="4">
        <v>14</v>
      </c>
      <c r="G189" s="4">
        <v>420</v>
      </c>
      <c r="H189" s="3">
        <v>10</v>
      </c>
      <c r="I189" s="3">
        <f t="shared" si="4"/>
        <v>240</v>
      </c>
      <c r="J189" s="3">
        <f t="shared" si="5"/>
        <v>660</v>
      </c>
      <c r="K189" t="s">
        <v>40</v>
      </c>
      <c r="L189" t="s">
        <v>28</v>
      </c>
      <c r="M189" t="s">
        <v>24</v>
      </c>
    </row>
    <row r="190" spans="1:13">
      <c r="A190" s="2">
        <v>46093</v>
      </c>
      <c r="B190" t="s">
        <v>43</v>
      </c>
      <c r="C190" t="s">
        <v>39</v>
      </c>
      <c r="D190" t="s">
        <v>33</v>
      </c>
      <c r="E190" s="4">
        <v>20</v>
      </c>
      <c r="F190" s="4">
        <v>12</v>
      </c>
      <c r="G190" s="4">
        <v>360</v>
      </c>
      <c r="H190" s="3">
        <v>9.5</v>
      </c>
      <c r="I190" s="3">
        <f t="shared" si="4"/>
        <v>190</v>
      </c>
      <c r="J190" s="3">
        <f t="shared" si="5"/>
        <v>550</v>
      </c>
      <c r="K190" t="s">
        <v>40</v>
      </c>
      <c r="L190" t="s">
        <v>28</v>
      </c>
      <c r="M190" t="s">
        <v>24</v>
      </c>
    </row>
    <row r="191" spans="1:13">
      <c r="A191" s="2">
        <v>46093</v>
      </c>
      <c r="B191" t="s">
        <v>43</v>
      </c>
      <c r="C191" t="s">
        <v>39</v>
      </c>
      <c r="D191" t="s">
        <v>34</v>
      </c>
      <c r="E191" s="4">
        <v>15</v>
      </c>
      <c r="F191" s="4">
        <v>8</v>
      </c>
      <c r="G191" s="4">
        <v>280</v>
      </c>
      <c r="H191" s="3">
        <v>8.5</v>
      </c>
      <c r="I191" s="3">
        <f t="shared" si="4"/>
        <v>127.5</v>
      </c>
      <c r="J191" s="3">
        <f t="shared" si="5"/>
        <v>407.5</v>
      </c>
      <c r="K191" t="s">
        <v>26</v>
      </c>
      <c r="L191" t="s">
        <v>16</v>
      </c>
      <c r="M191" t="s">
        <v>20</v>
      </c>
    </row>
    <row r="192" spans="1:13">
      <c r="A192" s="2">
        <v>46093</v>
      </c>
      <c r="B192" t="s">
        <v>43</v>
      </c>
      <c r="C192" t="s">
        <v>39</v>
      </c>
      <c r="D192" t="s">
        <v>36</v>
      </c>
      <c r="E192" s="4">
        <v>11</v>
      </c>
      <c r="F192" s="4">
        <v>5</v>
      </c>
      <c r="G192" s="4">
        <v>210</v>
      </c>
      <c r="H192" s="3">
        <v>7.5</v>
      </c>
      <c r="I192" s="3">
        <f t="shared" si="4"/>
        <v>82.5</v>
      </c>
      <c r="J192" s="3">
        <f t="shared" si="5"/>
        <v>292.5</v>
      </c>
      <c r="K192" t="s">
        <v>15</v>
      </c>
      <c r="L192" t="s">
        <v>16</v>
      </c>
      <c r="M192" t="s">
        <v>35</v>
      </c>
    </row>
    <row r="193" spans="1:13">
      <c r="A193" s="2">
        <v>46093</v>
      </c>
      <c r="B193" t="s">
        <v>43</v>
      </c>
      <c r="C193" t="s">
        <v>39</v>
      </c>
      <c r="D193" t="s">
        <v>37</v>
      </c>
      <c r="E193" s="4">
        <v>7</v>
      </c>
      <c r="F193" s="4">
        <v>3</v>
      </c>
      <c r="G193" s="4">
        <v>150</v>
      </c>
      <c r="H193" s="3">
        <v>7</v>
      </c>
      <c r="I193" s="3">
        <f t="shared" si="4"/>
        <v>49</v>
      </c>
      <c r="J193" s="3">
        <f t="shared" si="5"/>
        <v>199</v>
      </c>
      <c r="K193" t="s">
        <v>15</v>
      </c>
      <c r="L193" t="s">
        <v>16</v>
      </c>
      <c r="M193" t="s">
        <v>35</v>
      </c>
    </row>
    <row r="194" spans="1:13">
      <c r="A194" s="2">
        <v>46094</v>
      </c>
      <c r="B194" t="s">
        <v>44</v>
      </c>
      <c r="C194" t="s">
        <v>39</v>
      </c>
      <c r="D194" t="s">
        <v>14</v>
      </c>
      <c r="E194" s="4">
        <v>8</v>
      </c>
      <c r="F194" s="4">
        <v>2</v>
      </c>
      <c r="G194" s="4">
        <v>180</v>
      </c>
      <c r="H194" s="3">
        <v>6</v>
      </c>
      <c r="I194" s="3">
        <f t="shared" ref="I194:I257" si="6">E194*H194</f>
        <v>48</v>
      </c>
      <c r="J194" s="3">
        <f t="shared" ref="J194:J257" si="7">G194+I194</f>
        <v>228</v>
      </c>
      <c r="K194" t="s">
        <v>15</v>
      </c>
      <c r="L194" t="s">
        <v>16</v>
      </c>
      <c r="M194" t="s">
        <v>17</v>
      </c>
    </row>
    <row r="195" spans="1:13">
      <c r="A195" s="2">
        <v>46094</v>
      </c>
      <c r="B195" t="s">
        <v>44</v>
      </c>
      <c r="C195" t="s">
        <v>39</v>
      </c>
      <c r="D195" t="s">
        <v>18</v>
      </c>
      <c r="E195" s="4">
        <v>12</v>
      </c>
      <c r="F195" s="4">
        <v>3</v>
      </c>
      <c r="G195" s="4">
        <v>260</v>
      </c>
      <c r="H195" s="3">
        <v>6.5</v>
      </c>
      <c r="I195" s="3">
        <f t="shared" si="6"/>
        <v>78</v>
      </c>
      <c r="J195" s="3">
        <f t="shared" si="7"/>
        <v>338</v>
      </c>
      <c r="K195" t="s">
        <v>15</v>
      </c>
      <c r="L195" t="s">
        <v>16</v>
      </c>
      <c r="M195" t="s">
        <v>17</v>
      </c>
    </row>
    <row r="196" spans="1:13">
      <c r="A196" s="2">
        <v>46094</v>
      </c>
      <c r="B196" t="s">
        <v>44</v>
      </c>
      <c r="C196" t="s">
        <v>39</v>
      </c>
      <c r="D196" t="s">
        <v>19</v>
      </c>
      <c r="E196" s="4">
        <v>15</v>
      </c>
      <c r="F196" s="4">
        <v>4</v>
      </c>
      <c r="G196" s="4">
        <v>310</v>
      </c>
      <c r="H196" s="3">
        <v>7</v>
      </c>
      <c r="I196" s="3">
        <f t="shared" si="6"/>
        <v>105</v>
      </c>
      <c r="J196" s="3">
        <f t="shared" si="7"/>
        <v>415</v>
      </c>
      <c r="K196" t="s">
        <v>15</v>
      </c>
      <c r="L196" t="s">
        <v>16</v>
      </c>
      <c r="M196" t="s">
        <v>17</v>
      </c>
    </row>
    <row r="197" spans="1:13">
      <c r="A197" s="2">
        <v>46094</v>
      </c>
      <c r="B197" t="s">
        <v>44</v>
      </c>
      <c r="C197" t="s">
        <v>39</v>
      </c>
      <c r="D197" t="s">
        <v>21</v>
      </c>
      <c r="E197" s="4">
        <v>10</v>
      </c>
      <c r="F197" s="4">
        <v>3</v>
      </c>
      <c r="G197" s="4">
        <v>220</v>
      </c>
      <c r="H197" s="3">
        <v>7</v>
      </c>
      <c r="I197" s="3">
        <f t="shared" si="6"/>
        <v>70</v>
      </c>
      <c r="J197" s="3">
        <f t="shared" si="7"/>
        <v>290</v>
      </c>
      <c r="K197" t="s">
        <v>15</v>
      </c>
      <c r="L197" t="s">
        <v>16</v>
      </c>
      <c r="M197" t="s">
        <v>20</v>
      </c>
    </row>
    <row r="198" spans="1:13">
      <c r="A198" s="2">
        <v>46094</v>
      </c>
      <c r="B198" t="s">
        <v>44</v>
      </c>
      <c r="C198" t="s">
        <v>39</v>
      </c>
      <c r="D198" t="s">
        <v>22</v>
      </c>
      <c r="E198" s="4">
        <v>9</v>
      </c>
      <c r="F198" s="4">
        <v>4</v>
      </c>
      <c r="G198" s="4">
        <v>200</v>
      </c>
      <c r="H198" s="3">
        <v>7</v>
      </c>
      <c r="I198" s="3">
        <f t="shared" si="6"/>
        <v>63</v>
      </c>
      <c r="J198" s="3">
        <f t="shared" si="7"/>
        <v>263</v>
      </c>
      <c r="K198" t="s">
        <v>15</v>
      </c>
      <c r="L198" t="s">
        <v>16</v>
      </c>
      <c r="M198" t="s">
        <v>20</v>
      </c>
    </row>
    <row r="199" spans="1:13">
      <c r="A199" s="2">
        <v>46094</v>
      </c>
      <c r="B199" t="s">
        <v>44</v>
      </c>
      <c r="C199" t="s">
        <v>39</v>
      </c>
      <c r="D199" t="s">
        <v>23</v>
      </c>
      <c r="E199" s="4">
        <v>12</v>
      </c>
      <c r="F199" s="4">
        <v>7</v>
      </c>
      <c r="G199" s="4">
        <v>240</v>
      </c>
      <c r="H199" s="3">
        <v>8</v>
      </c>
      <c r="I199" s="3">
        <f t="shared" si="6"/>
        <v>96</v>
      </c>
      <c r="J199" s="3">
        <f t="shared" si="7"/>
        <v>336</v>
      </c>
      <c r="K199" t="s">
        <v>26</v>
      </c>
      <c r="L199" t="s">
        <v>16</v>
      </c>
      <c r="M199" t="s">
        <v>24</v>
      </c>
    </row>
    <row r="200" spans="1:13">
      <c r="A200" s="2">
        <v>46094</v>
      </c>
      <c r="B200" t="s">
        <v>44</v>
      </c>
      <c r="C200" t="s">
        <v>39</v>
      </c>
      <c r="D200" t="s">
        <v>25</v>
      </c>
      <c r="E200" s="4">
        <v>16</v>
      </c>
      <c r="F200" s="4">
        <v>10</v>
      </c>
      <c r="G200" s="4">
        <v>300</v>
      </c>
      <c r="H200" s="3">
        <v>9</v>
      </c>
      <c r="I200" s="3">
        <f t="shared" si="6"/>
        <v>144</v>
      </c>
      <c r="J200" s="3">
        <f t="shared" si="7"/>
        <v>444</v>
      </c>
      <c r="K200" t="s">
        <v>26</v>
      </c>
      <c r="L200" t="s">
        <v>16</v>
      </c>
      <c r="M200" t="s">
        <v>24</v>
      </c>
    </row>
    <row r="201" spans="1:13">
      <c r="A201" s="2">
        <v>46094</v>
      </c>
      <c r="B201" t="s">
        <v>44</v>
      </c>
      <c r="C201" t="s">
        <v>39</v>
      </c>
      <c r="D201" t="s">
        <v>27</v>
      </c>
      <c r="E201" s="4">
        <v>14</v>
      </c>
      <c r="F201" s="4">
        <v>9</v>
      </c>
      <c r="G201" s="4">
        <v>280</v>
      </c>
      <c r="H201" s="3">
        <v>8.5</v>
      </c>
      <c r="I201" s="3">
        <f t="shared" si="6"/>
        <v>119</v>
      </c>
      <c r="J201" s="3">
        <f t="shared" si="7"/>
        <v>399</v>
      </c>
      <c r="K201" t="s">
        <v>26</v>
      </c>
      <c r="L201" t="s">
        <v>16</v>
      </c>
      <c r="M201" t="s">
        <v>24</v>
      </c>
    </row>
    <row r="202" spans="1:13">
      <c r="A202" s="2">
        <v>46094</v>
      </c>
      <c r="B202" t="s">
        <v>44</v>
      </c>
      <c r="C202" t="s">
        <v>39</v>
      </c>
      <c r="D202" t="s">
        <v>29</v>
      </c>
      <c r="E202" s="4">
        <v>11</v>
      </c>
      <c r="F202" s="4">
        <v>7</v>
      </c>
      <c r="G202" s="4">
        <v>230</v>
      </c>
      <c r="H202" s="3">
        <v>7.5</v>
      </c>
      <c r="I202" s="3">
        <f t="shared" si="6"/>
        <v>82.5</v>
      </c>
      <c r="J202" s="3">
        <f t="shared" si="7"/>
        <v>312.5</v>
      </c>
      <c r="K202" t="s">
        <v>15</v>
      </c>
      <c r="L202" t="s">
        <v>16</v>
      </c>
      <c r="M202" t="s">
        <v>20</v>
      </c>
    </row>
    <row r="203" spans="1:13">
      <c r="A203" s="2">
        <v>46094</v>
      </c>
      <c r="B203" t="s">
        <v>44</v>
      </c>
      <c r="C203" t="s">
        <v>39</v>
      </c>
      <c r="D203" t="s">
        <v>30</v>
      </c>
      <c r="E203" s="4">
        <v>13</v>
      </c>
      <c r="F203" s="4">
        <v>8</v>
      </c>
      <c r="G203" s="4">
        <v>250</v>
      </c>
      <c r="H203" s="3">
        <v>8</v>
      </c>
      <c r="I203" s="3">
        <f t="shared" si="6"/>
        <v>104</v>
      </c>
      <c r="J203" s="3">
        <f t="shared" si="7"/>
        <v>354</v>
      </c>
      <c r="K203" t="s">
        <v>26</v>
      </c>
      <c r="L203" t="s">
        <v>16</v>
      </c>
      <c r="M203" t="s">
        <v>17</v>
      </c>
    </row>
    <row r="204" spans="1:13">
      <c r="A204" s="2">
        <v>46094</v>
      </c>
      <c r="B204" t="s">
        <v>44</v>
      </c>
      <c r="C204" t="s">
        <v>39</v>
      </c>
      <c r="D204" t="s">
        <v>31</v>
      </c>
      <c r="E204" s="4">
        <v>18</v>
      </c>
      <c r="F204" s="4">
        <v>11</v>
      </c>
      <c r="G204" s="4">
        <v>340</v>
      </c>
      <c r="H204" s="3">
        <v>9</v>
      </c>
      <c r="I204" s="3">
        <f t="shared" si="6"/>
        <v>162</v>
      </c>
      <c r="J204" s="3">
        <f t="shared" si="7"/>
        <v>502</v>
      </c>
      <c r="K204" t="s">
        <v>26</v>
      </c>
      <c r="L204" t="s">
        <v>16</v>
      </c>
      <c r="M204" t="s">
        <v>17</v>
      </c>
    </row>
    <row r="205" spans="1:13">
      <c r="A205" s="2">
        <v>46094</v>
      </c>
      <c r="B205" t="s">
        <v>44</v>
      </c>
      <c r="C205" t="s">
        <v>39</v>
      </c>
      <c r="D205" t="s">
        <v>32</v>
      </c>
      <c r="E205" s="4">
        <v>24</v>
      </c>
      <c r="F205" s="4">
        <v>14</v>
      </c>
      <c r="G205" s="4">
        <v>420</v>
      </c>
      <c r="H205" s="3">
        <v>10</v>
      </c>
      <c r="I205" s="3">
        <f t="shared" si="6"/>
        <v>240</v>
      </c>
      <c r="J205" s="3">
        <f t="shared" si="7"/>
        <v>660</v>
      </c>
      <c r="K205" t="s">
        <v>40</v>
      </c>
      <c r="L205" t="s">
        <v>28</v>
      </c>
      <c r="M205" t="s">
        <v>24</v>
      </c>
    </row>
    <row r="206" spans="1:13">
      <c r="A206" s="2">
        <v>46094</v>
      </c>
      <c r="B206" t="s">
        <v>44</v>
      </c>
      <c r="C206" t="s">
        <v>39</v>
      </c>
      <c r="D206" t="s">
        <v>33</v>
      </c>
      <c r="E206" s="4">
        <v>20</v>
      </c>
      <c r="F206" s="4">
        <v>12</v>
      </c>
      <c r="G206" s="4">
        <v>360</v>
      </c>
      <c r="H206" s="3">
        <v>9.5</v>
      </c>
      <c r="I206" s="3">
        <f t="shared" si="6"/>
        <v>190</v>
      </c>
      <c r="J206" s="3">
        <f t="shared" si="7"/>
        <v>550</v>
      </c>
      <c r="K206" t="s">
        <v>40</v>
      </c>
      <c r="L206" t="s">
        <v>28</v>
      </c>
      <c r="M206" t="s">
        <v>24</v>
      </c>
    </row>
    <row r="207" spans="1:13">
      <c r="A207" s="2">
        <v>46094</v>
      </c>
      <c r="B207" t="s">
        <v>44</v>
      </c>
      <c r="C207" t="s">
        <v>39</v>
      </c>
      <c r="D207" t="s">
        <v>34</v>
      </c>
      <c r="E207" s="4">
        <v>15</v>
      </c>
      <c r="F207" s="4">
        <v>8</v>
      </c>
      <c r="G207" s="4">
        <v>280</v>
      </c>
      <c r="H207" s="3">
        <v>8.5</v>
      </c>
      <c r="I207" s="3">
        <f t="shared" si="6"/>
        <v>127.5</v>
      </c>
      <c r="J207" s="3">
        <f t="shared" si="7"/>
        <v>407.5</v>
      </c>
      <c r="K207" t="s">
        <v>26</v>
      </c>
      <c r="L207" t="s">
        <v>16</v>
      </c>
      <c r="M207" t="s">
        <v>20</v>
      </c>
    </row>
    <row r="208" spans="1:13">
      <c r="A208" s="2">
        <v>46094</v>
      </c>
      <c r="B208" t="s">
        <v>44</v>
      </c>
      <c r="C208" t="s">
        <v>39</v>
      </c>
      <c r="D208" t="s">
        <v>36</v>
      </c>
      <c r="E208" s="4">
        <v>11</v>
      </c>
      <c r="F208" s="4">
        <v>5</v>
      </c>
      <c r="G208" s="4">
        <v>210</v>
      </c>
      <c r="H208" s="3">
        <v>7.5</v>
      </c>
      <c r="I208" s="3">
        <f t="shared" si="6"/>
        <v>82.5</v>
      </c>
      <c r="J208" s="3">
        <f t="shared" si="7"/>
        <v>292.5</v>
      </c>
      <c r="K208" t="s">
        <v>15</v>
      </c>
      <c r="L208" t="s">
        <v>16</v>
      </c>
      <c r="M208" t="s">
        <v>35</v>
      </c>
    </row>
    <row r="209" spans="1:13">
      <c r="A209" s="2">
        <v>46094</v>
      </c>
      <c r="B209" t="s">
        <v>44</v>
      </c>
      <c r="C209" t="s">
        <v>39</v>
      </c>
      <c r="D209" t="s">
        <v>37</v>
      </c>
      <c r="E209" s="4">
        <v>7</v>
      </c>
      <c r="F209" s="4">
        <v>3</v>
      </c>
      <c r="G209" s="4">
        <v>150</v>
      </c>
      <c r="H209" s="3">
        <v>7</v>
      </c>
      <c r="I209" s="3">
        <f t="shared" si="6"/>
        <v>49</v>
      </c>
      <c r="J209" s="3">
        <f t="shared" si="7"/>
        <v>199</v>
      </c>
      <c r="K209" t="s">
        <v>15</v>
      </c>
      <c r="L209" t="s">
        <v>16</v>
      </c>
      <c r="M209" t="s">
        <v>35</v>
      </c>
    </row>
    <row r="210" spans="1:13">
      <c r="A210" s="2">
        <v>46095</v>
      </c>
      <c r="B210" t="s">
        <v>45</v>
      </c>
      <c r="C210" t="s">
        <v>45</v>
      </c>
      <c r="D210" t="s">
        <v>14</v>
      </c>
      <c r="E210" s="4">
        <v>5</v>
      </c>
      <c r="F210" s="4">
        <v>1</v>
      </c>
      <c r="G210" s="4">
        <v>120</v>
      </c>
      <c r="H210" s="3">
        <v>6</v>
      </c>
      <c r="I210" s="3">
        <f t="shared" si="6"/>
        <v>30</v>
      </c>
      <c r="J210" s="3">
        <f t="shared" si="7"/>
        <v>150</v>
      </c>
      <c r="K210" t="s">
        <v>15</v>
      </c>
      <c r="L210" t="s">
        <v>16</v>
      </c>
      <c r="M210" t="s">
        <v>17</v>
      </c>
    </row>
    <row r="211" spans="1:13">
      <c r="A211" s="2">
        <v>46095</v>
      </c>
      <c r="B211" t="s">
        <v>45</v>
      </c>
      <c r="C211" t="s">
        <v>45</v>
      </c>
      <c r="D211" t="s">
        <v>18</v>
      </c>
      <c r="E211" s="4">
        <v>6</v>
      </c>
      <c r="F211" s="4">
        <v>2</v>
      </c>
      <c r="G211" s="4">
        <v>140</v>
      </c>
      <c r="H211" s="3">
        <v>6.5</v>
      </c>
      <c r="I211" s="3">
        <f t="shared" si="6"/>
        <v>39</v>
      </c>
      <c r="J211" s="3">
        <f t="shared" si="7"/>
        <v>179</v>
      </c>
      <c r="K211" t="s">
        <v>15</v>
      </c>
      <c r="L211" t="s">
        <v>16</v>
      </c>
      <c r="M211" t="s">
        <v>17</v>
      </c>
    </row>
    <row r="212" spans="1:13">
      <c r="A212" s="2">
        <v>46095</v>
      </c>
      <c r="B212" t="s">
        <v>45</v>
      </c>
      <c r="C212" t="s">
        <v>45</v>
      </c>
      <c r="D212" t="s">
        <v>19</v>
      </c>
      <c r="E212" s="4">
        <v>7</v>
      </c>
      <c r="F212" s="4">
        <v>2</v>
      </c>
      <c r="G212" s="4">
        <v>160</v>
      </c>
      <c r="H212" s="3">
        <v>7</v>
      </c>
      <c r="I212" s="3">
        <f t="shared" si="6"/>
        <v>49</v>
      </c>
      <c r="J212" s="3">
        <f t="shared" si="7"/>
        <v>209</v>
      </c>
      <c r="K212" t="s">
        <v>15</v>
      </c>
      <c r="L212" t="s">
        <v>16</v>
      </c>
      <c r="M212" t="s">
        <v>20</v>
      </c>
    </row>
    <row r="213" spans="1:13">
      <c r="A213" s="2">
        <v>46095</v>
      </c>
      <c r="B213" t="s">
        <v>45</v>
      </c>
      <c r="C213" t="s">
        <v>45</v>
      </c>
      <c r="D213" t="s">
        <v>21</v>
      </c>
      <c r="E213" s="4">
        <v>8</v>
      </c>
      <c r="F213" s="4">
        <v>3</v>
      </c>
      <c r="G213" s="4">
        <v>180</v>
      </c>
      <c r="H213" s="3">
        <v>7</v>
      </c>
      <c r="I213" s="3">
        <f t="shared" si="6"/>
        <v>56</v>
      </c>
      <c r="J213" s="3">
        <f t="shared" si="7"/>
        <v>236</v>
      </c>
      <c r="K213" t="s">
        <v>15</v>
      </c>
      <c r="L213" t="s">
        <v>16</v>
      </c>
      <c r="M213" t="s">
        <v>20</v>
      </c>
    </row>
    <row r="214" spans="1:13">
      <c r="A214" s="2">
        <v>46095</v>
      </c>
      <c r="B214" t="s">
        <v>45</v>
      </c>
      <c r="C214" t="s">
        <v>45</v>
      </c>
      <c r="D214" t="s">
        <v>22</v>
      </c>
      <c r="E214" s="4">
        <v>10</v>
      </c>
      <c r="F214" s="4">
        <v>5</v>
      </c>
      <c r="G214" s="4">
        <v>210</v>
      </c>
      <c r="H214" s="3">
        <v>7.5</v>
      </c>
      <c r="I214" s="3">
        <f t="shared" si="6"/>
        <v>75</v>
      </c>
      <c r="J214" s="3">
        <f t="shared" si="7"/>
        <v>285</v>
      </c>
      <c r="K214" t="s">
        <v>15</v>
      </c>
      <c r="L214" t="s">
        <v>16</v>
      </c>
      <c r="M214" t="s">
        <v>20</v>
      </c>
    </row>
    <row r="215" spans="1:13">
      <c r="A215" s="2">
        <v>46095</v>
      </c>
      <c r="B215" t="s">
        <v>45</v>
      </c>
      <c r="C215" t="s">
        <v>45</v>
      </c>
      <c r="D215" t="s">
        <v>23</v>
      </c>
      <c r="E215" s="4">
        <v>13</v>
      </c>
      <c r="F215" s="4">
        <v>8</v>
      </c>
      <c r="G215" s="4">
        <v>250</v>
      </c>
      <c r="H215" s="3">
        <v>8.5</v>
      </c>
      <c r="I215" s="3">
        <f t="shared" si="6"/>
        <v>110.5</v>
      </c>
      <c r="J215" s="3">
        <f t="shared" si="7"/>
        <v>360.5</v>
      </c>
      <c r="K215" t="s">
        <v>26</v>
      </c>
      <c r="L215" t="s">
        <v>16</v>
      </c>
      <c r="M215" t="s">
        <v>24</v>
      </c>
    </row>
    <row r="216" spans="1:13">
      <c r="A216" s="2">
        <v>46095</v>
      </c>
      <c r="B216" t="s">
        <v>45</v>
      </c>
      <c r="C216" t="s">
        <v>45</v>
      </c>
      <c r="D216" t="s">
        <v>25</v>
      </c>
      <c r="E216" s="4">
        <v>18</v>
      </c>
      <c r="F216" s="4">
        <v>12</v>
      </c>
      <c r="G216" s="4">
        <v>320</v>
      </c>
      <c r="H216" s="3">
        <v>9.5</v>
      </c>
      <c r="I216" s="3">
        <f t="shared" si="6"/>
        <v>171</v>
      </c>
      <c r="J216" s="3">
        <f t="shared" si="7"/>
        <v>491</v>
      </c>
      <c r="K216" t="s">
        <v>26</v>
      </c>
      <c r="L216" t="s">
        <v>28</v>
      </c>
      <c r="M216" t="s">
        <v>24</v>
      </c>
    </row>
    <row r="217" spans="1:13">
      <c r="A217" s="2">
        <v>46095</v>
      </c>
      <c r="B217" t="s">
        <v>45</v>
      </c>
      <c r="C217" t="s">
        <v>45</v>
      </c>
      <c r="D217" t="s">
        <v>27</v>
      </c>
      <c r="E217" s="4">
        <v>21</v>
      </c>
      <c r="F217" s="4">
        <v>14</v>
      </c>
      <c r="G217" s="4">
        <v>360</v>
      </c>
      <c r="H217" s="3">
        <v>10</v>
      </c>
      <c r="I217" s="3">
        <f t="shared" si="6"/>
        <v>210</v>
      </c>
      <c r="J217" s="3">
        <f t="shared" si="7"/>
        <v>570</v>
      </c>
      <c r="K217" t="s">
        <v>40</v>
      </c>
      <c r="L217" t="s">
        <v>28</v>
      </c>
      <c r="M217" t="s">
        <v>24</v>
      </c>
    </row>
    <row r="218" spans="1:13">
      <c r="A218" s="2">
        <v>46095</v>
      </c>
      <c r="B218" t="s">
        <v>45</v>
      </c>
      <c r="C218" t="s">
        <v>45</v>
      </c>
      <c r="D218" t="s">
        <v>29</v>
      </c>
      <c r="E218" s="4">
        <v>23</v>
      </c>
      <c r="F218" s="4">
        <v>15</v>
      </c>
      <c r="G218" s="4">
        <v>390</v>
      </c>
      <c r="H218" s="3">
        <v>10.5</v>
      </c>
      <c r="I218" s="3">
        <f t="shared" si="6"/>
        <v>241.5</v>
      </c>
      <c r="J218" s="3">
        <f t="shared" si="7"/>
        <v>631.5</v>
      </c>
      <c r="K218" t="s">
        <v>40</v>
      </c>
      <c r="L218" t="s">
        <v>28</v>
      </c>
      <c r="M218" t="s">
        <v>17</v>
      </c>
    </row>
    <row r="219" spans="1:13">
      <c r="A219" s="2">
        <v>46095</v>
      </c>
      <c r="B219" t="s">
        <v>45</v>
      </c>
      <c r="C219" t="s">
        <v>45</v>
      </c>
      <c r="D219" t="s">
        <v>30</v>
      </c>
      <c r="E219" s="4">
        <v>22</v>
      </c>
      <c r="F219" s="4">
        <v>13</v>
      </c>
      <c r="G219" s="4">
        <v>370</v>
      </c>
      <c r="H219" s="3">
        <v>10</v>
      </c>
      <c r="I219" s="3">
        <f t="shared" si="6"/>
        <v>220</v>
      </c>
      <c r="J219" s="3">
        <f t="shared" si="7"/>
        <v>590</v>
      </c>
      <c r="K219" t="s">
        <v>40</v>
      </c>
      <c r="L219" t="s">
        <v>28</v>
      </c>
      <c r="M219" t="s">
        <v>17</v>
      </c>
    </row>
    <row r="220" spans="1:13">
      <c r="A220" s="2">
        <v>46095</v>
      </c>
      <c r="B220" t="s">
        <v>45</v>
      </c>
      <c r="C220" t="s">
        <v>45</v>
      </c>
      <c r="D220" t="s">
        <v>31</v>
      </c>
      <c r="E220" s="4">
        <v>19</v>
      </c>
      <c r="F220" s="4">
        <v>11</v>
      </c>
      <c r="G220" s="4">
        <v>340</v>
      </c>
      <c r="H220" s="3">
        <v>9</v>
      </c>
      <c r="I220" s="3">
        <f t="shared" si="6"/>
        <v>171</v>
      </c>
      <c r="J220" s="3">
        <f t="shared" si="7"/>
        <v>511</v>
      </c>
      <c r="K220" t="s">
        <v>26</v>
      </c>
      <c r="L220" t="s">
        <v>16</v>
      </c>
      <c r="M220" t="s">
        <v>17</v>
      </c>
    </row>
    <row r="221" spans="1:13">
      <c r="A221" s="2">
        <v>46095</v>
      </c>
      <c r="B221" t="s">
        <v>45</v>
      </c>
      <c r="C221" t="s">
        <v>45</v>
      </c>
      <c r="D221" t="s">
        <v>32</v>
      </c>
      <c r="E221" s="4">
        <v>17</v>
      </c>
      <c r="F221" s="4">
        <v>10</v>
      </c>
      <c r="G221" s="4">
        <v>300</v>
      </c>
      <c r="H221" s="3">
        <v>9</v>
      </c>
      <c r="I221" s="3">
        <f t="shared" si="6"/>
        <v>153</v>
      </c>
      <c r="J221" s="3">
        <f t="shared" si="7"/>
        <v>453</v>
      </c>
      <c r="K221" t="s">
        <v>26</v>
      </c>
      <c r="L221" t="s">
        <v>16</v>
      </c>
      <c r="M221" t="s">
        <v>20</v>
      </c>
    </row>
    <row r="222" spans="1:13">
      <c r="A222" s="2">
        <v>46095</v>
      </c>
      <c r="B222" t="s">
        <v>45</v>
      </c>
      <c r="C222" t="s">
        <v>45</v>
      </c>
      <c r="D222" t="s">
        <v>33</v>
      </c>
      <c r="E222" s="4">
        <v>15</v>
      </c>
      <c r="F222" s="4">
        <v>8</v>
      </c>
      <c r="G222" s="4">
        <v>270</v>
      </c>
      <c r="H222" s="3">
        <v>8.5</v>
      </c>
      <c r="I222" s="3">
        <f t="shared" si="6"/>
        <v>127.5</v>
      </c>
      <c r="J222" s="3">
        <f t="shared" si="7"/>
        <v>397.5</v>
      </c>
      <c r="K222" t="s">
        <v>26</v>
      </c>
      <c r="L222" t="s">
        <v>16</v>
      </c>
      <c r="M222" t="s">
        <v>20</v>
      </c>
    </row>
    <row r="223" spans="1:13">
      <c r="A223" s="2">
        <v>46095</v>
      </c>
      <c r="B223" t="s">
        <v>45</v>
      </c>
      <c r="C223" t="s">
        <v>45</v>
      </c>
      <c r="D223" t="s">
        <v>34</v>
      </c>
      <c r="E223" s="4">
        <v>13</v>
      </c>
      <c r="F223" s="4">
        <v>6</v>
      </c>
      <c r="G223" s="4">
        <v>230</v>
      </c>
      <c r="H223" s="3">
        <v>8</v>
      </c>
      <c r="I223" s="3">
        <f t="shared" si="6"/>
        <v>104</v>
      </c>
      <c r="J223" s="3">
        <f t="shared" si="7"/>
        <v>334</v>
      </c>
      <c r="K223" t="s">
        <v>15</v>
      </c>
      <c r="L223" t="s">
        <v>16</v>
      </c>
      <c r="M223" t="s">
        <v>35</v>
      </c>
    </row>
    <row r="224" spans="1:13">
      <c r="A224" s="2">
        <v>46095</v>
      </c>
      <c r="B224" t="s">
        <v>45</v>
      </c>
      <c r="C224" t="s">
        <v>45</v>
      </c>
      <c r="D224" t="s">
        <v>36</v>
      </c>
      <c r="E224" s="4">
        <v>10</v>
      </c>
      <c r="F224" s="4">
        <v>4</v>
      </c>
      <c r="G224" s="4">
        <v>190</v>
      </c>
      <c r="H224" s="3">
        <v>7.5</v>
      </c>
      <c r="I224" s="3">
        <f t="shared" si="6"/>
        <v>75</v>
      </c>
      <c r="J224" s="3">
        <f t="shared" si="7"/>
        <v>265</v>
      </c>
      <c r="K224" t="s">
        <v>15</v>
      </c>
      <c r="L224" t="s">
        <v>16</v>
      </c>
      <c r="M224" t="s">
        <v>35</v>
      </c>
    </row>
    <row r="225" spans="1:13">
      <c r="A225" s="2">
        <v>46095</v>
      </c>
      <c r="B225" t="s">
        <v>45</v>
      </c>
      <c r="C225" t="s">
        <v>45</v>
      </c>
      <c r="D225" t="s">
        <v>37</v>
      </c>
      <c r="E225" s="4">
        <v>7</v>
      </c>
      <c r="F225" s="4">
        <v>2</v>
      </c>
      <c r="G225" s="4">
        <v>140</v>
      </c>
      <c r="H225" s="3">
        <v>7</v>
      </c>
      <c r="I225" s="3">
        <f t="shared" si="6"/>
        <v>49</v>
      </c>
      <c r="J225" s="3">
        <f t="shared" si="7"/>
        <v>189</v>
      </c>
      <c r="K225" t="s">
        <v>15</v>
      </c>
      <c r="L225" t="s">
        <v>16</v>
      </c>
      <c r="M225" t="s">
        <v>35</v>
      </c>
    </row>
    <row r="226" spans="1:13">
      <c r="A226" s="2">
        <v>46096</v>
      </c>
      <c r="B226" t="s">
        <v>13</v>
      </c>
      <c r="C226" t="s">
        <v>13</v>
      </c>
      <c r="D226" t="s">
        <v>14</v>
      </c>
      <c r="E226" s="4">
        <v>3</v>
      </c>
      <c r="F226" s="4">
        <v>0</v>
      </c>
      <c r="G226" s="4">
        <v>80</v>
      </c>
      <c r="H226" s="3">
        <v>6</v>
      </c>
      <c r="I226" s="3">
        <f t="shared" si="6"/>
        <v>18</v>
      </c>
      <c r="J226" s="3">
        <f t="shared" si="7"/>
        <v>98</v>
      </c>
      <c r="K226" t="s">
        <v>15</v>
      </c>
      <c r="L226" t="s">
        <v>16</v>
      </c>
      <c r="M226" t="s">
        <v>17</v>
      </c>
    </row>
    <row r="227" spans="1:13">
      <c r="A227" s="2">
        <v>46096</v>
      </c>
      <c r="B227" t="s">
        <v>13</v>
      </c>
      <c r="C227" t="s">
        <v>13</v>
      </c>
      <c r="D227" t="s">
        <v>18</v>
      </c>
      <c r="E227" s="4">
        <v>4</v>
      </c>
      <c r="F227" s="4">
        <v>1</v>
      </c>
      <c r="G227" s="4">
        <v>90</v>
      </c>
      <c r="H227" s="3">
        <v>6.5</v>
      </c>
      <c r="I227" s="3">
        <f t="shared" si="6"/>
        <v>26</v>
      </c>
      <c r="J227" s="3">
        <f t="shared" si="7"/>
        <v>116</v>
      </c>
      <c r="K227" t="s">
        <v>15</v>
      </c>
      <c r="L227" t="s">
        <v>16</v>
      </c>
      <c r="M227" t="s">
        <v>17</v>
      </c>
    </row>
    <row r="228" spans="1:13">
      <c r="A228" s="2">
        <v>46096</v>
      </c>
      <c r="B228" t="s">
        <v>13</v>
      </c>
      <c r="C228" t="s">
        <v>13</v>
      </c>
      <c r="D228" t="s">
        <v>19</v>
      </c>
      <c r="E228" s="4">
        <v>5</v>
      </c>
      <c r="F228" s="4">
        <v>1</v>
      </c>
      <c r="G228" s="4">
        <v>100</v>
      </c>
      <c r="H228" s="3">
        <v>7</v>
      </c>
      <c r="I228" s="3">
        <f t="shared" si="6"/>
        <v>35</v>
      </c>
      <c r="J228" s="3">
        <f t="shared" si="7"/>
        <v>135</v>
      </c>
      <c r="K228" t="s">
        <v>15</v>
      </c>
      <c r="L228" t="s">
        <v>16</v>
      </c>
      <c r="M228" t="s">
        <v>20</v>
      </c>
    </row>
    <row r="229" spans="1:13">
      <c r="A229" s="2">
        <v>46096</v>
      </c>
      <c r="B229" t="s">
        <v>13</v>
      </c>
      <c r="C229" t="s">
        <v>13</v>
      </c>
      <c r="D229" t="s">
        <v>21</v>
      </c>
      <c r="E229" s="4">
        <v>5</v>
      </c>
      <c r="F229" s="4">
        <v>2</v>
      </c>
      <c r="G229" s="4">
        <v>105</v>
      </c>
      <c r="H229" s="3">
        <v>7</v>
      </c>
      <c r="I229" s="3">
        <f t="shared" si="6"/>
        <v>35</v>
      </c>
      <c r="J229" s="3">
        <f t="shared" si="7"/>
        <v>140</v>
      </c>
      <c r="K229" t="s">
        <v>15</v>
      </c>
      <c r="L229" t="s">
        <v>16</v>
      </c>
      <c r="M229" t="s">
        <v>20</v>
      </c>
    </row>
    <row r="230" spans="1:13">
      <c r="A230" s="2">
        <v>46096</v>
      </c>
      <c r="B230" t="s">
        <v>13</v>
      </c>
      <c r="C230" t="s">
        <v>13</v>
      </c>
      <c r="D230" t="s">
        <v>22</v>
      </c>
      <c r="E230" s="4">
        <v>6</v>
      </c>
      <c r="F230" s="4">
        <v>2</v>
      </c>
      <c r="G230" s="4">
        <v>115</v>
      </c>
      <c r="H230" s="3">
        <v>7</v>
      </c>
      <c r="I230" s="3">
        <f t="shared" si="6"/>
        <v>42</v>
      </c>
      <c r="J230" s="3">
        <f t="shared" si="7"/>
        <v>157</v>
      </c>
      <c r="K230" t="s">
        <v>15</v>
      </c>
      <c r="L230" t="s">
        <v>16</v>
      </c>
      <c r="M230" t="s">
        <v>20</v>
      </c>
    </row>
    <row r="231" spans="1:13">
      <c r="A231" s="2">
        <v>46096</v>
      </c>
      <c r="B231" t="s">
        <v>13</v>
      </c>
      <c r="C231" t="s">
        <v>13</v>
      </c>
      <c r="D231" t="s">
        <v>23</v>
      </c>
      <c r="E231" s="4">
        <v>7</v>
      </c>
      <c r="F231" s="4">
        <v>4</v>
      </c>
      <c r="G231" s="4">
        <v>130</v>
      </c>
      <c r="H231" s="3">
        <v>8</v>
      </c>
      <c r="I231" s="3">
        <f t="shared" si="6"/>
        <v>56</v>
      </c>
      <c r="J231" s="3">
        <f t="shared" si="7"/>
        <v>186</v>
      </c>
      <c r="K231" t="s">
        <v>15</v>
      </c>
      <c r="L231" t="s">
        <v>16</v>
      </c>
      <c r="M231" t="s">
        <v>24</v>
      </c>
    </row>
    <row r="232" spans="1:13">
      <c r="A232" s="2">
        <v>46096</v>
      </c>
      <c r="B232" t="s">
        <v>13</v>
      </c>
      <c r="C232" t="s">
        <v>13</v>
      </c>
      <c r="D232" t="s">
        <v>25</v>
      </c>
      <c r="E232" s="4">
        <v>9</v>
      </c>
      <c r="F232" s="4">
        <v>6</v>
      </c>
      <c r="G232" s="4">
        <v>160</v>
      </c>
      <c r="H232" s="3">
        <v>9</v>
      </c>
      <c r="I232" s="3">
        <f t="shared" si="6"/>
        <v>81</v>
      </c>
      <c r="J232" s="3">
        <f t="shared" si="7"/>
        <v>241</v>
      </c>
      <c r="K232" t="s">
        <v>26</v>
      </c>
      <c r="L232" t="s">
        <v>16</v>
      </c>
      <c r="M232" t="s">
        <v>24</v>
      </c>
    </row>
    <row r="233" spans="1:13">
      <c r="A233" s="2">
        <v>46096</v>
      </c>
      <c r="B233" t="s">
        <v>13</v>
      </c>
      <c r="C233" t="s">
        <v>13</v>
      </c>
      <c r="D233" t="s">
        <v>27</v>
      </c>
      <c r="E233" s="4">
        <v>10</v>
      </c>
      <c r="F233" s="4">
        <v>7</v>
      </c>
      <c r="G233" s="4">
        <v>180</v>
      </c>
      <c r="H233" s="3">
        <v>9.5</v>
      </c>
      <c r="I233" s="3">
        <f t="shared" si="6"/>
        <v>95</v>
      </c>
      <c r="J233" s="3">
        <f t="shared" si="7"/>
        <v>275</v>
      </c>
      <c r="K233" t="s">
        <v>26</v>
      </c>
      <c r="L233" t="s">
        <v>28</v>
      </c>
      <c r="M233" t="s">
        <v>24</v>
      </c>
    </row>
    <row r="234" spans="1:13">
      <c r="A234" s="2">
        <v>46096</v>
      </c>
      <c r="B234" t="s">
        <v>13</v>
      </c>
      <c r="C234" t="s">
        <v>13</v>
      </c>
      <c r="D234" t="s">
        <v>29</v>
      </c>
      <c r="E234" s="4">
        <v>9</v>
      </c>
      <c r="F234" s="4">
        <v>6</v>
      </c>
      <c r="G234" s="4">
        <v>170</v>
      </c>
      <c r="H234" s="3">
        <v>9</v>
      </c>
      <c r="I234" s="3">
        <f t="shared" si="6"/>
        <v>81</v>
      </c>
      <c r="J234" s="3">
        <f t="shared" si="7"/>
        <v>251</v>
      </c>
      <c r="K234" t="s">
        <v>26</v>
      </c>
      <c r="L234" t="s">
        <v>16</v>
      </c>
      <c r="M234" t="s">
        <v>17</v>
      </c>
    </row>
    <row r="235" spans="1:13">
      <c r="A235" s="2">
        <v>46096</v>
      </c>
      <c r="B235" t="s">
        <v>13</v>
      </c>
      <c r="C235" t="s">
        <v>13</v>
      </c>
      <c r="D235" t="s">
        <v>30</v>
      </c>
      <c r="E235" s="4">
        <v>8</v>
      </c>
      <c r="F235" s="4">
        <v>5</v>
      </c>
      <c r="G235" s="4">
        <v>150</v>
      </c>
      <c r="H235" s="3">
        <v>8.5</v>
      </c>
      <c r="I235" s="3">
        <f t="shared" si="6"/>
        <v>68</v>
      </c>
      <c r="J235" s="3">
        <f t="shared" si="7"/>
        <v>218</v>
      </c>
      <c r="K235" t="s">
        <v>15</v>
      </c>
      <c r="L235" t="s">
        <v>16</v>
      </c>
      <c r="M235" t="s">
        <v>17</v>
      </c>
    </row>
    <row r="236" spans="1:13">
      <c r="A236" s="2">
        <v>46096</v>
      </c>
      <c r="B236" t="s">
        <v>13</v>
      </c>
      <c r="C236" t="s">
        <v>13</v>
      </c>
      <c r="D236" t="s">
        <v>31</v>
      </c>
      <c r="E236" s="4">
        <v>7</v>
      </c>
      <c r="F236" s="4">
        <v>4</v>
      </c>
      <c r="G236" s="4">
        <v>135</v>
      </c>
      <c r="H236" s="3">
        <v>8</v>
      </c>
      <c r="I236" s="3">
        <f t="shared" si="6"/>
        <v>56</v>
      </c>
      <c r="J236" s="3">
        <f t="shared" si="7"/>
        <v>191</v>
      </c>
      <c r="K236" t="s">
        <v>15</v>
      </c>
      <c r="L236" t="s">
        <v>16</v>
      </c>
      <c r="M236" t="s">
        <v>17</v>
      </c>
    </row>
    <row r="237" spans="1:13">
      <c r="A237" s="2">
        <v>46096</v>
      </c>
      <c r="B237" t="s">
        <v>13</v>
      </c>
      <c r="C237" t="s">
        <v>13</v>
      </c>
      <c r="D237" t="s">
        <v>32</v>
      </c>
      <c r="E237" s="4">
        <v>6</v>
      </c>
      <c r="F237" s="4">
        <v>3</v>
      </c>
      <c r="G237" s="4">
        <v>120</v>
      </c>
      <c r="H237" s="3">
        <v>8</v>
      </c>
      <c r="I237" s="3">
        <f t="shared" si="6"/>
        <v>48</v>
      </c>
      <c r="J237" s="3">
        <f t="shared" si="7"/>
        <v>168</v>
      </c>
      <c r="K237" t="s">
        <v>15</v>
      </c>
      <c r="L237" t="s">
        <v>16</v>
      </c>
      <c r="M237" t="s">
        <v>20</v>
      </c>
    </row>
    <row r="238" spans="1:13">
      <c r="A238" s="2">
        <v>46096</v>
      </c>
      <c r="B238" t="s">
        <v>13</v>
      </c>
      <c r="C238" t="s">
        <v>13</v>
      </c>
      <c r="D238" t="s">
        <v>33</v>
      </c>
      <c r="E238" s="4">
        <v>6</v>
      </c>
      <c r="F238" s="4">
        <v>3</v>
      </c>
      <c r="G238" s="4">
        <v>115</v>
      </c>
      <c r="H238" s="3">
        <v>8</v>
      </c>
      <c r="I238" s="3">
        <f t="shared" si="6"/>
        <v>48</v>
      </c>
      <c r="J238" s="3">
        <f t="shared" si="7"/>
        <v>163</v>
      </c>
      <c r="K238" t="s">
        <v>15</v>
      </c>
      <c r="L238" t="s">
        <v>16</v>
      </c>
      <c r="M238" t="s">
        <v>20</v>
      </c>
    </row>
    <row r="239" spans="1:13">
      <c r="A239" s="2">
        <v>46096</v>
      </c>
      <c r="B239" t="s">
        <v>13</v>
      </c>
      <c r="C239" t="s">
        <v>13</v>
      </c>
      <c r="D239" t="s">
        <v>34</v>
      </c>
      <c r="E239" s="4">
        <v>5</v>
      </c>
      <c r="F239" s="4">
        <v>2</v>
      </c>
      <c r="G239" s="4">
        <v>100</v>
      </c>
      <c r="H239" s="3">
        <v>7.5</v>
      </c>
      <c r="I239" s="3">
        <f t="shared" si="6"/>
        <v>37.5</v>
      </c>
      <c r="J239" s="3">
        <f t="shared" si="7"/>
        <v>137.5</v>
      </c>
      <c r="K239" t="s">
        <v>15</v>
      </c>
      <c r="L239" t="s">
        <v>16</v>
      </c>
      <c r="M239" t="s">
        <v>35</v>
      </c>
    </row>
    <row r="240" spans="1:13">
      <c r="A240" s="2">
        <v>46096</v>
      </c>
      <c r="B240" t="s">
        <v>13</v>
      </c>
      <c r="C240" t="s">
        <v>13</v>
      </c>
      <c r="D240" t="s">
        <v>36</v>
      </c>
      <c r="E240" s="4">
        <v>4</v>
      </c>
      <c r="F240" s="4">
        <v>1</v>
      </c>
      <c r="G240" s="4">
        <v>85</v>
      </c>
      <c r="H240" s="3">
        <v>7</v>
      </c>
      <c r="I240" s="3">
        <f t="shared" si="6"/>
        <v>28</v>
      </c>
      <c r="J240" s="3">
        <f t="shared" si="7"/>
        <v>113</v>
      </c>
      <c r="K240" t="s">
        <v>15</v>
      </c>
      <c r="L240" t="s">
        <v>16</v>
      </c>
      <c r="M240" t="s">
        <v>35</v>
      </c>
    </row>
    <row r="241" spans="1:13">
      <c r="A241" s="2">
        <v>46096</v>
      </c>
      <c r="B241" t="s">
        <v>13</v>
      </c>
      <c r="C241" t="s">
        <v>13</v>
      </c>
      <c r="D241" t="s">
        <v>37</v>
      </c>
      <c r="E241" s="4">
        <v>3</v>
      </c>
      <c r="F241" s="4">
        <v>1</v>
      </c>
      <c r="G241" s="4">
        <v>70</v>
      </c>
      <c r="H241" s="3">
        <v>7</v>
      </c>
      <c r="I241" s="3">
        <f t="shared" si="6"/>
        <v>21</v>
      </c>
      <c r="J241" s="3">
        <f t="shared" si="7"/>
        <v>91</v>
      </c>
      <c r="K241" t="s">
        <v>15</v>
      </c>
      <c r="L241" t="s">
        <v>16</v>
      </c>
      <c r="M241" t="s">
        <v>35</v>
      </c>
    </row>
    <row r="242" spans="1:13">
      <c r="A242" s="2">
        <v>46097</v>
      </c>
      <c r="B242" t="s">
        <v>38</v>
      </c>
      <c r="C242" t="s">
        <v>39</v>
      </c>
      <c r="D242" t="s">
        <v>14</v>
      </c>
      <c r="E242" s="4">
        <v>8</v>
      </c>
      <c r="F242" s="4">
        <v>2</v>
      </c>
      <c r="G242" s="4">
        <v>180</v>
      </c>
      <c r="H242" s="3">
        <v>6</v>
      </c>
      <c r="I242" s="3">
        <f t="shared" si="6"/>
        <v>48</v>
      </c>
      <c r="J242" s="3">
        <f t="shared" si="7"/>
        <v>228</v>
      </c>
      <c r="K242" t="s">
        <v>15</v>
      </c>
      <c r="L242" t="s">
        <v>16</v>
      </c>
      <c r="M242" t="s">
        <v>17</v>
      </c>
    </row>
    <row r="243" spans="1:13">
      <c r="A243" s="2">
        <v>46097</v>
      </c>
      <c r="B243" t="s">
        <v>38</v>
      </c>
      <c r="C243" t="s">
        <v>39</v>
      </c>
      <c r="D243" t="s">
        <v>18</v>
      </c>
      <c r="E243" s="4">
        <v>12</v>
      </c>
      <c r="F243" s="4">
        <v>3</v>
      </c>
      <c r="G243" s="4">
        <v>260</v>
      </c>
      <c r="H243" s="3">
        <v>6.5</v>
      </c>
      <c r="I243" s="3">
        <f t="shared" si="6"/>
        <v>78</v>
      </c>
      <c r="J243" s="3">
        <f t="shared" si="7"/>
        <v>338</v>
      </c>
      <c r="K243" t="s">
        <v>15</v>
      </c>
      <c r="L243" t="s">
        <v>16</v>
      </c>
      <c r="M243" t="s">
        <v>17</v>
      </c>
    </row>
    <row r="244" spans="1:13">
      <c r="A244" s="2">
        <v>46097</v>
      </c>
      <c r="B244" t="s">
        <v>38</v>
      </c>
      <c r="C244" t="s">
        <v>39</v>
      </c>
      <c r="D244" t="s">
        <v>19</v>
      </c>
      <c r="E244" s="4">
        <v>15</v>
      </c>
      <c r="F244" s="4">
        <v>4</v>
      </c>
      <c r="G244" s="4">
        <v>310</v>
      </c>
      <c r="H244" s="3">
        <v>7</v>
      </c>
      <c r="I244" s="3">
        <f t="shared" si="6"/>
        <v>105</v>
      </c>
      <c r="J244" s="3">
        <f t="shared" si="7"/>
        <v>415</v>
      </c>
      <c r="K244" t="s">
        <v>15</v>
      </c>
      <c r="L244" t="s">
        <v>16</v>
      </c>
      <c r="M244" t="s">
        <v>17</v>
      </c>
    </row>
    <row r="245" spans="1:13">
      <c r="A245" s="2">
        <v>46097</v>
      </c>
      <c r="B245" t="s">
        <v>38</v>
      </c>
      <c r="C245" t="s">
        <v>39</v>
      </c>
      <c r="D245" t="s">
        <v>21</v>
      </c>
      <c r="E245" s="4">
        <v>10</v>
      </c>
      <c r="F245" s="4">
        <v>3</v>
      </c>
      <c r="G245" s="4">
        <v>220</v>
      </c>
      <c r="H245" s="3">
        <v>7</v>
      </c>
      <c r="I245" s="3">
        <f t="shared" si="6"/>
        <v>70</v>
      </c>
      <c r="J245" s="3">
        <f t="shared" si="7"/>
        <v>290</v>
      </c>
      <c r="K245" t="s">
        <v>15</v>
      </c>
      <c r="L245" t="s">
        <v>16</v>
      </c>
      <c r="M245" t="s">
        <v>20</v>
      </c>
    </row>
    <row r="246" spans="1:13">
      <c r="A246" s="2">
        <v>46097</v>
      </c>
      <c r="B246" t="s">
        <v>38</v>
      </c>
      <c r="C246" t="s">
        <v>39</v>
      </c>
      <c r="D246" t="s">
        <v>22</v>
      </c>
      <c r="E246" s="4">
        <v>9</v>
      </c>
      <c r="F246" s="4">
        <v>4</v>
      </c>
      <c r="G246" s="4">
        <v>200</v>
      </c>
      <c r="H246" s="3">
        <v>7</v>
      </c>
      <c r="I246" s="3">
        <f t="shared" si="6"/>
        <v>63</v>
      </c>
      <c r="J246" s="3">
        <f t="shared" si="7"/>
        <v>263</v>
      </c>
      <c r="K246" t="s">
        <v>15</v>
      </c>
      <c r="L246" t="s">
        <v>16</v>
      </c>
      <c r="M246" t="s">
        <v>20</v>
      </c>
    </row>
    <row r="247" spans="1:13">
      <c r="A247" s="2">
        <v>46097</v>
      </c>
      <c r="B247" t="s">
        <v>38</v>
      </c>
      <c r="C247" t="s">
        <v>39</v>
      </c>
      <c r="D247" t="s">
        <v>23</v>
      </c>
      <c r="E247" s="4">
        <v>12</v>
      </c>
      <c r="F247" s="4">
        <v>7</v>
      </c>
      <c r="G247" s="4">
        <v>240</v>
      </c>
      <c r="H247" s="3">
        <v>8</v>
      </c>
      <c r="I247" s="3">
        <f t="shared" si="6"/>
        <v>96</v>
      </c>
      <c r="J247" s="3">
        <f t="shared" si="7"/>
        <v>336</v>
      </c>
      <c r="K247" t="s">
        <v>26</v>
      </c>
      <c r="L247" t="s">
        <v>16</v>
      </c>
      <c r="M247" t="s">
        <v>24</v>
      </c>
    </row>
    <row r="248" spans="1:13">
      <c r="A248" s="2">
        <v>46097</v>
      </c>
      <c r="B248" t="s">
        <v>38</v>
      </c>
      <c r="C248" t="s">
        <v>39</v>
      </c>
      <c r="D248" t="s">
        <v>25</v>
      </c>
      <c r="E248" s="4">
        <v>16</v>
      </c>
      <c r="F248" s="4">
        <v>10</v>
      </c>
      <c r="G248" s="4">
        <v>300</v>
      </c>
      <c r="H248" s="3">
        <v>9</v>
      </c>
      <c r="I248" s="3">
        <f t="shared" si="6"/>
        <v>144</v>
      </c>
      <c r="J248" s="3">
        <f t="shared" si="7"/>
        <v>444</v>
      </c>
      <c r="K248" t="s">
        <v>26</v>
      </c>
      <c r="L248" t="s">
        <v>16</v>
      </c>
      <c r="M248" t="s">
        <v>24</v>
      </c>
    </row>
    <row r="249" spans="1:13">
      <c r="A249" s="2">
        <v>46097</v>
      </c>
      <c r="B249" t="s">
        <v>38</v>
      </c>
      <c r="C249" t="s">
        <v>39</v>
      </c>
      <c r="D249" t="s">
        <v>27</v>
      </c>
      <c r="E249" s="4">
        <v>14</v>
      </c>
      <c r="F249" s="4">
        <v>9</v>
      </c>
      <c r="G249" s="4">
        <v>280</v>
      </c>
      <c r="H249" s="3">
        <v>8.5</v>
      </c>
      <c r="I249" s="3">
        <f t="shared" si="6"/>
        <v>119</v>
      </c>
      <c r="J249" s="3">
        <f t="shared" si="7"/>
        <v>399</v>
      </c>
      <c r="K249" t="s">
        <v>26</v>
      </c>
      <c r="L249" t="s">
        <v>16</v>
      </c>
      <c r="M249" t="s">
        <v>24</v>
      </c>
    </row>
    <row r="250" spans="1:13">
      <c r="A250" s="2">
        <v>46097</v>
      </c>
      <c r="B250" t="s">
        <v>38</v>
      </c>
      <c r="C250" t="s">
        <v>39</v>
      </c>
      <c r="D250" t="s">
        <v>29</v>
      </c>
      <c r="E250" s="4">
        <v>11</v>
      </c>
      <c r="F250" s="4">
        <v>7</v>
      </c>
      <c r="G250" s="4">
        <v>230</v>
      </c>
      <c r="H250" s="3">
        <v>7.5</v>
      </c>
      <c r="I250" s="3">
        <f t="shared" si="6"/>
        <v>82.5</v>
      </c>
      <c r="J250" s="3">
        <f t="shared" si="7"/>
        <v>312.5</v>
      </c>
      <c r="K250" t="s">
        <v>15</v>
      </c>
      <c r="L250" t="s">
        <v>16</v>
      </c>
      <c r="M250" t="s">
        <v>20</v>
      </c>
    </row>
    <row r="251" spans="1:13">
      <c r="A251" s="2">
        <v>46097</v>
      </c>
      <c r="B251" t="s">
        <v>38</v>
      </c>
      <c r="C251" t="s">
        <v>39</v>
      </c>
      <c r="D251" t="s">
        <v>30</v>
      </c>
      <c r="E251" s="4">
        <v>13</v>
      </c>
      <c r="F251" s="4">
        <v>8</v>
      </c>
      <c r="G251" s="4">
        <v>250</v>
      </c>
      <c r="H251" s="3">
        <v>8</v>
      </c>
      <c r="I251" s="3">
        <f t="shared" si="6"/>
        <v>104</v>
      </c>
      <c r="J251" s="3">
        <f t="shared" si="7"/>
        <v>354</v>
      </c>
      <c r="K251" t="s">
        <v>26</v>
      </c>
      <c r="L251" t="s">
        <v>16</v>
      </c>
      <c r="M251" t="s">
        <v>17</v>
      </c>
    </row>
    <row r="252" spans="1:13">
      <c r="A252" s="2">
        <v>46097</v>
      </c>
      <c r="B252" t="s">
        <v>38</v>
      </c>
      <c r="C252" t="s">
        <v>39</v>
      </c>
      <c r="D252" t="s">
        <v>31</v>
      </c>
      <c r="E252" s="4">
        <v>18</v>
      </c>
      <c r="F252" s="4">
        <v>11</v>
      </c>
      <c r="G252" s="4">
        <v>340</v>
      </c>
      <c r="H252" s="3">
        <v>9</v>
      </c>
      <c r="I252" s="3">
        <f t="shared" si="6"/>
        <v>162</v>
      </c>
      <c r="J252" s="3">
        <f t="shared" si="7"/>
        <v>502</v>
      </c>
      <c r="K252" t="s">
        <v>26</v>
      </c>
      <c r="L252" t="s">
        <v>16</v>
      </c>
      <c r="M252" t="s">
        <v>17</v>
      </c>
    </row>
    <row r="253" spans="1:13">
      <c r="A253" s="2">
        <v>46097</v>
      </c>
      <c r="B253" t="s">
        <v>38</v>
      </c>
      <c r="C253" t="s">
        <v>39</v>
      </c>
      <c r="D253" t="s">
        <v>32</v>
      </c>
      <c r="E253" s="4">
        <v>24</v>
      </c>
      <c r="F253" s="4">
        <v>14</v>
      </c>
      <c r="G253" s="4">
        <v>420</v>
      </c>
      <c r="H253" s="3">
        <v>10</v>
      </c>
      <c r="I253" s="3">
        <f t="shared" si="6"/>
        <v>240</v>
      </c>
      <c r="J253" s="3">
        <f t="shared" si="7"/>
        <v>660</v>
      </c>
      <c r="K253" t="s">
        <v>40</v>
      </c>
      <c r="L253" t="s">
        <v>28</v>
      </c>
      <c r="M253" t="s">
        <v>24</v>
      </c>
    </row>
    <row r="254" spans="1:13">
      <c r="A254" s="2">
        <v>46097</v>
      </c>
      <c r="B254" t="s">
        <v>38</v>
      </c>
      <c r="C254" t="s">
        <v>39</v>
      </c>
      <c r="D254" t="s">
        <v>33</v>
      </c>
      <c r="E254" s="4">
        <v>20</v>
      </c>
      <c r="F254" s="4">
        <v>12</v>
      </c>
      <c r="G254" s="4">
        <v>360</v>
      </c>
      <c r="H254" s="3">
        <v>9.5</v>
      </c>
      <c r="I254" s="3">
        <f t="shared" si="6"/>
        <v>190</v>
      </c>
      <c r="J254" s="3">
        <f t="shared" si="7"/>
        <v>550</v>
      </c>
      <c r="K254" t="s">
        <v>40</v>
      </c>
      <c r="L254" t="s">
        <v>28</v>
      </c>
      <c r="M254" t="s">
        <v>24</v>
      </c>
    </row>
    <row r="255" spans="1:13">
      <c r="A255" s="2">
        <v>46097</v>
      </c>
      <c r="B255" t="s">
        <v>38</v>
      </c>
      <c r="C255" t="s">
        <v>39</v>
      </c>
      <c r="D255" t="s">
        <v>34</v>
      </c>
      <c r="E255" s="4">
        <v>15</v>
      </c>
      <c r="F255" s="4">
        <v>8</v>
      </c>
      <c r="G255" s="4">
        <v>280</v>
      </c>
      <c r="H255" s="3">
        <v>8.5</v>
      </c>
      <c r="I255" s="3">
        <f t="shared" si="6"/>
        <v>127.5</v>
      </c>
      <c r="J255" s="3">
        <f t="shared" si="7"/>
        <v>407.5</v>
      </c>
      <c r="K255" t="s">
        <v>26</v>
      </c>
      <c r="L255" t="s">
        <v>16</v>
      </c>
      <c r="M255" t="s">
        <v>20</v>
      </c>
    </row>
    <row r="256" spans="1:13">
      <c r="A256" s="2">
        <v>46097</v>
      </c>
      <c r="B256" t="s">
        <v>38</v>
      </c>
      <c r="C256" t="s">
        <v>39</v>
      </c>
      <c r="D256" t="s">
        <v>36</v>
      </c>
      <c r="E256" s="4">
        <v>11</v>
      </c>
      <c r="F256" s="4">
        <v>5</v>
      </c>
      <c r="G256" s="4">
        <v>210</v>
      </c>
      <c r="H256" s="3">
        <v>7.5</v>
      </c>
      <c r="I256" s="3">
        <f t="shared" si="6"/>
        <v>82.5</v>
      </c>
      <c r="J256" s="3">
        <f t="shared" si="7"/>
        <v>292.5</v>
      </c>
      <c r="K256" t="s">
        <v>15</v>
      </c>
      <c r="L256" t="s">
        <v>16</v>
      </c>
      <c r="M256" t="s">
        <v>35</v>
      </c>
    </row>
    <row r="257" spans="1:13">
      <c r="A257" s="2">
        <v>46097</v>
      </c>
      <c r="B257" t="s">
        <v>38</v>
      </c>
      <c r="C257" t="s">
        <v>39</v>
      </c>
      <c r="D257" t="s">
        <v>37</v>
      </c>
      <c r="E257" s="4">
        <v>7</v>
      </c>
      <c r="F257" s="4">
        <v>3</v>
      </c>
      <c r="G257" s="4">
        <v>150</v>
      </c>
      <c r="H257" s="3">
        <v>7</v>
      </c>
      <c r="I257" s="3">
        <f t="shared" si="6"/>
        <v>49</v>
      </c>
      <c r="J257" s="3">
        <f t="shared" si="7"/>
        <v>199</v>
      </c>
      <c r="K257" t="s">
        <v>15</v>
      </c>
      <c r="L257" t="s">
        <v>16</v>
      </c>
      <c r="M257" t="s">
        <v>35</v>
      </c>
    </row>
    <row r="258" spans="1:13">
      <c r="A258" s="2">
        <v>46098</v>
      </c>
      <c r="B258" t="s">
        <v>41</v>
      </c>
      <c r="C258" t="s">
        <v>39</v>
      </c>
      <c r="D258" t="s">
        <v>14</v>
      </c>
      <c r="E258" s="4">
        <v>8</v>
      </c>
      <c r="F258" s="4">
        <v>2</v>
      </c>
      <c r="G258" s="4">
        <v>180</v>
      </c>
      <c r="H258" s="3">
        <v>6</v>
      </c>
      <c r="I258" s="3">
        <f t="shared" ref="I258:I321" si="8">E258*H258</f>
        <v>48</v>
      </c>
      <c r="J258" s="3">
        <f t="shared" ref="J258:J321" si="9">G258+I258</f>
        <v>228</v>
      </c>
      <c r="K258" t="s">
        <v>15</v>
      </c>
      <c r="L258" t="s">
        <v>16</v>
      </c>
      <c r="M258" t="s">
        <v>17</v>
      </c>
    </row>
    <row r="259" spans="1:13">
      <c r="A259" s="2">
        <v>46098</v>
      </c>
      <c r="B259" t="s">
        <v>41</v>
      </c>
      <c r="C259" t="s">
        <v>39</v>
      </c>
      <c r="D259" t="s">
        <v>18</v>
      </c>
      <c r="E259" s="4">
        <v>12</v>
      </c>
      <c r="F259" s="4">
        <v>3</v>
      </c>
      <c r="G259" s="4">
        <v>260</v>
      </c>
      <c r="H259" s="3">
        <v>6.5</v>
      </c>
      <c r="I259" s="3">
        <f t="shared" si="8"/>
        <v>78</v>
      </c>
      <c r="J259" s="3">
        <f t="shared" si="9"/>
        <v>338</v>
      </c>
      <c r="K259" t="s">
        <v>15</v>
      </c>
      <c r="L259" t="s">
        <v>16</v>
      </c>
      <c r="M259" t="s">
        <v>17</v>
      </c>
    </row>
    <row r="260" spans="1:13">
      <c r="A260" s="2">
        <v>46098</v>
      </c>
      <c r="B260" t="s">
        <v>41</v>
      </c>
      <c r="C260" t="s">
        <v>39</v>
      </c>
      <c r="D260" t="s">
        <v>19</v>
      </c>
      <c r="E260" s="4">
        <v>15</v>
      </c>
      <c r="F260" s="4">
        <v>4</v>
      </c>
      <c r="G260" s="4">
        <v>310</v>
      </c>
      <c r="H260" s="3">
        <v>7</v>
      </c>
      <c r="I260" s="3">
        <f t="shared" si="8"/>
        <v>105</v>
      </c>
      <c r="J260" s="3">
        <f t="shared" si="9"/>
        <v>415</v>
      </c>
      <c r="K260" t="s">
        <v>15</v>
      </c>
      <c r="L260" t="s">
        <v>16</v>
      </c>
      <c r="M260" t="s">
        <v>17</v>
      </c>
    </row>
    <row r="261" spans="1:13">
      <c r="A261" s="2">
        <v>46098</v>
      </c>
      <c r="B261" t="s">
        <v>41</v>
      </c>
      <c r="C261" t="s">
        <v>39</v>
      </c>
      <c r="D261" t="s">
        <v>21</v>
      </c>
      <c r="E261" s="4">
        <v>10</v>
      </c>
      <c r="F261" s="4">
        <v>3</v>
      </c>
      <c r="G261" s="4">
        <v>220</v>
      </c>
      <c r="H261" s="3">
        <v>7</v>
      </c>
      <c r="I261" s="3">
        <f t="shared" si="8"/>
        <v>70</v>
      </c>
      <c r="J261" s="3">
        <f t="shared" si="9"/>
        <v>290</v>
      </c>
      <c r="K261" t="s">
        <v>15</v>
      </c>
      <c r="L261" t="s">
        <v>16</v>
      </c>
      <c r="M261" t="s">
        <v>20</v>
      </c>
    </row>
    <row r="262" spans="1:13">
      <c r="A262" s="2">
        <v>46098</v>
      </c>
      <c r="B262" t="s">
        <v>41</v>
      </c>
      <c r="C262" t="s">
        <v>39</v>
      </c>
      <c r="D262" t="s">
        <v>22</v>
      </c>
      <c r="E262" s="4">
        <v>9</v>
      </c>
      <c r="F262" s="4">
        <v>4</v>
      </c>
      <c r="G262" s="4">
        <v>200</v>
      </c>
      <c r="H262" s="3">
        <v>7</v>
      </c>
      <c r="I262" s="3">
        <f t="shared" si="8"/>
        <v>63</v>
      </c>
      <c r="J262" s="3">
        <f t="shared" si="9"/>
        <v>263</v>
      </c>
      <c r="K262" t="s">
        <v>15</v>
      </c>
      <c r="L262" t="s">
        <v>16</v>
      </c>
      <c r="M262" t="s">
        <v>20</v>
      </c>
    </row>
    <row r="263" spans="1:13">
      <c r="A263" s="2">
        <v>46098</v>
      </c>
      <c r="B263" t="s">
        <v>41</v>
      </c>
      <c r="C263" t="s">
        <v>39</v>
      </c>
      <c r="D263" t="s">
        <v>23</v>
      </c>
      <c r="E263" s="4">
        <v>12</v>
      </c>
      <c r="F263" s="4">
        <v>7</v>
      </c>
      <c r="G263" s="4">
        <v>240</v>
      </c>
      <c r="H263" s="3">
        <v>8</v>
      </c>
      <c r="I263" s="3">
        <f t="shared" si="8"/>
        <v>96</v>
      </c>
      <c r="J263" s="3">
        <f t="shared" si="9"/>
        <v>336</v>
      </c>
      <c r="K263" t="s">
        <v>26</v>
      </c>
      <c r="L263" t="s">
        <v>16</v>
      </c>
      <c r="M263" t="s">
        <v>24</v>
      </c>
    </row>
    <row r="264" spans="1:13">
      <c r="A264" s="2">
        <v>46098</v>
      </c>
      <c r="B264" t="s">
        <v>41</v>
      </c>
      <c r="C264" t="s">
        <v>39</v>
      </c>
      <c r="D264" t="s">
        <v>25</v>
      </c>
      <c r="E264" s="4">
        <v>16</v>
      </c>
      <c r="F264" s="4">
        <v>10</v>
      </c>
      <c r="G264" s="4">
        <v>300</v>
      </c>
      <c r="H264" s="3">
        <v>9</v>
      </c>
      <c r="I264" s="3">
        <f t="shared" si="8"/>
        <v>144</v>
      </c>
      <c r="J264" s="3">
        <f t="shared" si="9"/>
        <v>444</v>
      </c>
      <c r="K264" t="s">
        <v>26</v>
      </c>
      <c r="L264" t="s">
        <v>16</v>
      </c>
      <c r="M264" t="s">
        <v>24</v>
      </c>
    </row>
    <row r="265" spans="1:13">
      <c r="A265" s="2">
        <v>46098</v>
      </c>
      <c r="B265" t="s">
        <v>41</v>
      </c>
      <c r="C265" t="s">
        <v>39</v>
      </c>
      <c r="D265" t="s">
        <v>27</v>
      </c>
      <c r="E265" s="4">
        <v>14</v>
      </c>
      <c r="F265" s="4">
        <v>9</v>
      </c>
      <c r="G265" s="4">
        <v>280</v>
      </c>
      <c r="H265" s="3">
        <v>8.5</v>
      </c>
      <c r="I265" s="3">
        <f t="shared" si="8"/>
        <v>119</v>
      </c>
      <c r="J265" s="3">
        <f t="shared" si="9"/>
        <v>399</v>
      </c>
      <c r="K265" t="s">
        <v>26</v>
      </c>
      <c r="L265" t="s">
        <v>16</v>
      </c>
      <c r="M265" t="s">
        <v>24</v>
      </c>
    </row>
    <row r="266" spans="1:13">
      <c r="A266" s="2">
        <v>46098</v>
      </c>
      <c r="B266" t="s">
        <v>41</v>
      </c>
      <c r="C266" t="s">
        <v>39</v>
      </c>
      <c r="D266" t="s">
        <v>29</v>
      </c>
      <c r="E266" s="4">
        <v>11</v>
      </c>
      <c r="F266" s="4">
        <v>7</v>
      </c>
      <c r="G266" s="4">
        <v>230</v>
      </c>
      <c r="H266" s="3">
        <v>7.5</v>
      </c>
      <c r="I266" s="3">
        <f t="shared" si="8"/>
        <v>82.5</v>
      </c>
      <c r="J266" s="3">
        <f t="shared" si="9"/>
        <v>312.5</v>
      </c>
      <c r="K266" t="s">
        <v>15</v>
      </c>
      <c r="L266" t="s">
        <v>16</v>
      </c>
      <c r="M266" t="s">
        <v>20</v>
      </c>
    </row>
    <row r="267" spans="1:13">
      <c r="A267" s="2">
        <v>46098</v>
      </c>
      <c r="B267" t="s">
        <v>41</v>
      </c>
      <c r="C267" t="s">
        <v>39</v>
      </c>
      <c r="D267" t="s">
        <v>30</v>
      </c>
      <c r="E267" s="4">
        <v>13</v>
      </c>
      <c r="F267" s="4">
        <v>8</v>
      </c>
      <c r="G267" s="4">
        <v>250</v>
      </c>
      <c r="H267" s="3">
        <v>8</v>
      </c>
      <c r="I267" s="3">
        <f t="shared" si="8"/>
        <v>104</v>
      </c>
      <c r="J267" s="3">
        <f t="shared" si="9"/>
        <v>354</v>
      </c>
      <c r="K267" t="s">
        <v>26</v>
      </c>
      <c r="L267" t="s">
        <v>16</v>
      </c>
      <c r="M267" t="s">
        <v>17</v>
      </c>
    </row>
    <row r="268" spans="1:13">
      <c r="A268" s="2">
        <v>46098</v>
      </c>
      <c r="B268" t="s">
        <v>41</v>
      </c>
      <c r="C268" t="s">
        <v>39</v>
      </c>
      <c r="D268" t="s">
        <v>31</v>
      </c>
      <c r="E268" s="4">
        <v>18</v>
      </c>
      <c r="F268" s="4">
        <v>11</v>
      </c>
      <c r="G268" s="4">
        <v>340</v>
      </c>
      <c r="H268" s="3">
        <v>9</v>
      </c>
      <c r="I268" s="3">
        <f t="shared" si="8"/>
        <v>162</v>
      </c>
      <c r="J268" s="3">
        <f t="shared" si="9"/>
        <v>502</v>
      </c>
      <c r="K268" t="s">
        <v>26</v>
      </c>
      <c r="L268" t="s">
        <v>16</v>
      </c>
      <c r="M268" t="s">
        <v>17</v>
      </c>
    </row>
    <row r="269" spans="1:13">
      <c r="A269" s="2">
        <v>46098</v>
      </c>
      <c r="B269" t="s">
        <v>41</v>
      </c>
      <c r="C269" t="s">
        <v>39</v>
      </c>
      <c r="D269" t="s">
        <v>32</v>
      </c>
      <c r="E269" s="4">
        <v>24</v>
      </c>
      <c r="F269" s="4">
        <v>14</v>
      </c>
      <c r="G269" s="4">
        <v>420</v>
      </c>
      <c r="H269" s="3">
        <v>10</v>
      </c>
      <c r="I269" s="3">
        <f t="shared" si="8"/>
        <v>240</v>
      </c>
      <c r="J269" s="3">
        <f t="shared" si="9"/>
        <v>660</v>
      </c>
      <c r="K269" t="s">
        <v>40</v>
      </c>
      <c r="L269" t="s">
        <v>28</v>
      </c>
      <c r="M269" t="s">
        <v>24</v>
      </c>
    </row>
    <row r="270" spans="1:13">
      <c r="A270" s="2">
        <v>46098</v>
      </c>
      <c r="B270" t="s">
        <v>41</v>
      </c>
      <c r="C270" t="s">
        <v>39</v>
      </c>
      <c r="D270" t="s">
        <v>33</v>
      </c>
      <c r="E270" s="4">
        <v>20</v>
      </c>
      <c r="F270" s="4">
        <v>12</v>
      </c>
      <c r="G270" s="4">
        <v>360</v>
      </c>
      <c r="H270" s="3">
        <v>9.5</v>
      </c>
      <c r="I270" s="3">
        <f t="shared" si="8"/>
        <v>190</v>
      </c>
      <c r="J270" s="3">
        <f t="shared" si="9"/>
        <v>550</v>
      </c>
      <c r="K270" t="s">
        <v>40</v>
      </c>
      <c r="L270" t="s">
        <v>28</v>
      </c>
      <c r="M270" t="s">
        <v>24</v>
      </c>
    </row>
    <row r="271" spans="1:13">
      <c r="A271" s="2">
        <v>46098</v>
      </c>
      <c r="B271" t="s">
        <v>41</v>
      </c>
      <c r="C271" t="s">
        <v>39</v>
      </c>
      <c r="D271" t="s">
        <v>34</v>
      </c>
      <c r="E271" s="4">
        <v>15</v>
      </c>
      <c r="F271" s="4">
        <v>8</v>
      </c>
      <c r="G271" s="4">
        <v>280</v>
      </c>
      <c r="H271" s="3">
        <v>8.5</v>
      </c>
      <c r="I271" s="3">
        <f t="shared" si="8"/>
        <v>127.5</v>
      </c>
      <c r="J271" s="3">
        <f t="shared" si="9"/>
        <v>407.5</v>
      </c>
      <c r="K271" t="s">
        <v>26</v>
      </c>
      <c r="L271" t="s">
        <v>16</v>
      </c>
      <c r="M271" t="s">
        <v>20</v>
      </c>
    </row>
    <row r="272" spans="1:13">
      <c r="A272" s="2">
        <v>46098</v>
      </c>
      <c r="B272" t="s">
        <v>41</v>
      </c>
      <c r="C272" t="s">
        <v>39</v>
      </c>
      <c r="D272" t="s">
        <v>36</v>
      </c>
      <c r="E272" s="4">
        <v>11</v>
      </c>
      <c r="F272" s="4">
        <v>5</v>
      </c>
      <c r="G272" s="4">
        <v>210</v>
      </c>
      <c r="H272" s="3">
        <v>7.5</v>
      </c>
      <c r="I272" s="3">
        <f t="shared" si="8"/>
        <v>82.5</v>
      </c>
      <c r="J272" s="3">
        <f t="shared" si="9"/>
        <v>292.5</v>
      </c>
      <c r="K272" t="s">
        <v>15</v>
      </c>
      <c r="L272" t="s">
        <v>16</v>
      </c>
      <c r="M272" t="s">
        <v>35</v>
      </c>
    </row>
    <row r="273" spans="1:13">
      <c r="A273" s="2">
        <v>46098</v>
      </c>
      <c r="B273" t="s">
        <v>41</v>
      </c>
      <c r="C273" t="s">
        <v>39</v>
      </c>
      <c r="D273" t="s">
        <v>37</v>
      </c>
      <c r="E273" s="4">
        <v>7</v>
      </c>
      <c r="F273" s="4">
        <v>3</v>
      </c>
      <c r="G273" s="4">
        <v>150</v>
      </c>
      <c r="H273" s="3">
        <v>7</v>
      </c>
      <c r="I273" s="3">
        <f t="shared" si="8"/>
        <v>49</v>
      </c>
      <c r="J273" s="3">
        <f t="shared" si="9"/>
        <v>199</v>
      </c>
      <c r="K273" t="s">
        <v>15</v>
      </c>
      <c r="L273" t="s">
        <v>16</v>
      </c>
      <c r="M273" t="s">
        <v>35</v>
      </c>
    </row>
    <row r="274" spans="1:13">
      <c r="A274" s="2">
        <v>46099</v>
      </c>
      <c r="B274" t="s">
        <v>42</v>
      </c>
      <c r="C274" t="s">
        <v>39</v>
      </c>
      <c r="D274" t="s">
        <v>14</v>
      </c>
      <c r="E274" s="4">
        <v>8</v>
      </c>
      <c r="F274" s="4">
        <v>2</v>
      </c>
      <c r="G274" s="4">
        <v>180</v>
      </c>
      <c r="H274" s="3">
        <v>6</v>
      </c>
      <c r="I274" s="3">
        <f t="shared" si="8"/>
        <v>48</v>
      </c>
      <c r="J274" s="3">
        <f t="shared" si="9"/>
        <v>228</v>
      </c>
      <c r="K274" t="s">
        <v>15</v>
      </c>
      <c r="L274" t="s">
        <v>16</v>
      </c>
      <c r="M274" t="s">
        <v>17</v>
      </c>
    </row>
    <row r="275" spans="1:13">
      <c r="A275" s="2">
        <v>46099</v>
      </c>
      <c r="B275" t="s">
        <v>42</v>
      </c>
      <c r="C275" t="s">
        <v>39</v>
      </c>
      <c r="D275" t="s">
        <v>18</v>
      </c>
      <c r="E275" s="4">
        <v>12</v>
      </c>
      <c r="F275" s="4">
        <v>3</v>
      </c>
      <c r="G275" s="4">
        <v>260</v>
      </c>
      <c r="H275" s="3">
        <v>6.5</v>
      </c>
      <c r="I275" s="3">
        <f t="shared" si="8"/>
        <v>78</v>
      </c>
      <c r="J275" s="3">
        <f t="shared" si="9"/>
        <v>338</v>
      </c>
      <c r="K275" t="s">
        <v>15</v>
      </c>
      <c r="L275" t="s">
        <v>16</v>
      </c>
      <c r="M275" t="s">
        <v>17</v>
      </c>
    </row>
    <row r="276" spans="1:13">
      <c r="A276" s="2">
        <v>46099</v>
      </c>
      <c r="B276" t="s">
        <v>42</v>
      </c>
      <c r="C276" t="s">
        <v>39</v>
      </c>
      <c r="D276" t="s">
        <v>19</v>
      </c>
      <c r="E276" s="4">
        <v>15</v>
      </c>
      <c r="F276" s="4">
        <v>4</v>
      </c>
      <c r="G276" s="4">
        <v>310</v>
      </c>
      <c r="H276" s="3">
        <v>7</v>
      </c>
      <c r="I276" s="3">
        <f t="shared" si="8"/>
        <v>105</v>
      </c>
      <c r="J276" s="3">
        <f t="shared" si="9"/>
        <v>415</v>
      </c>
      <c r="K276" t="s">
        <v>15</v>
      </c>
      <c r="L276" t="s">
        <v>16</v>
      </c>
      <c r="M276" t="s">
        <v>17</v>
      </c>
    </row>
    <row r="277" spans="1:13">
      <c r="A277" s="2">
        <v>46099</v>
      </c>
      <c r="B277" t="s">
        <v>42</v>
      </c>
      <c r="C277" t="s">
        <v>39</v>
      </c>
      <c r="D277" t="s">
        <v>21</v>
      </c>
      <c r="E277" s="4">
        <v>10</v>
      </c>
      <c r="F277" s="4">
        <v>3</v>
      </c>
      <c r="G277" s="4">
        <v>220</v>
      </c>
      <c r="H277" s="3">
        <v>7</v>
      </c>
      <c r="I277" s="3">
        <f t="shared" si="8"/>
        <v>70</v>
      </c>
      <c r="J277" s="3">
        <f t="shared" si="9"/>
        <v>290</v>
      </c>
      <c r="K277" t="s">
        <v>15</v>
      </c>
      <c r="L277" t="s">
        <v>16</v>
      </c>
      <c r="M277" t="s">
        <v>20</v>
      </c>
    </row>
    <row r="278" spans="1:13">
      <c r="A278" s="2">
        <v>46099</v>
      </c>
      <c r="B278" t="s">
        <v>42</v>
      </c>
      <c r="C278" t="s">
        <v>39</v>
      </c>
      <c r="D278" t="s">
        <v>22</v>
      </c>
      <c r="E278" s="4">
        <v>9</v>
      </c>
      <c r="F278" s="4">
        <v>4</v>
      </c>
      <c r="G278" s="4">
        <v>200</v>
      </c>
      <c r="H278" s="3">
        <v>7</v>
      </c>
      <c r="I278" s="3">
        <f t="shared" si="8"/>
        <v>63</v>
      </c>
      <c r="J278" s="3">
        <f t="shared" si="9"/>
        <v>263</v>
      </c>
      <c r="K278" t="s">
        <v>15</v>
      </c>
      <c r="L278" t="s">
        <v>16</v>
      </c>
      <c r="M278" t="s">
        <v>20</v>
      </c>
    </row>
    <row r="279" spans="1:13">
      <c r="A279" s="2">
        <v>46099</v>
      </c>
      <c r="B279" t="s">
        <v>42</v>
      </c>
      <c r="C279" t="s">
        <v>39</v>
      </c>
      <c r="D279" t="s">
        <v>23</v>
      </c>
      <c r="E279" s="4">
        <v>12</v>
      </c>
      <c r="F279" s="4">
        <v>7</v>
      </c>
      <c r="G279" s="4">
        <v>240</v>
      </c>
      <c r="H279" s="3">
        <v>8</v>
      </c>
      <c r="I279" s="3">
        <f t="shared" si="8"/>
        <v>96</v>
      </c>
      <c r="J279" s="3">
        <f t="shared" si="9"/>
        <v>336</v>
      </c>
      <c r="K279" t="s">
        <v>26</v>
      </c>
      <c r="L279" t="s">
        <v>16</v>
      </c>
      <c r="M279" t="s">
        <v>24</v>
      </c>
    </row>
    <row r="280" spans="1:13">
      <c r="A280" s="2">
        <v>46099</v>
      </c>
      <c r="B280" t="s">
        <v>42</v>
      </c>
      <c r="C280" t="s">
        <v>39</v>
      </c>
      <c r="D280" t="s">
        <v>25</v>
      </c>
      <c r="E280" s="4">
        <v>16</v>
      </c>
      <c r="F280" s="4">
        <v>10</v>
      </c>
      <c r="G280" s="4">
        <v>300</v>
      </c>
      <c r="H280" s="3">
        <v>9</v>
      </c>
      <c r="I280" s="3">
        <f t="shared" si="8"/>
        <v>144</v>
      </c>
      <c r="J280" s="3">
        <f t="shared" si="9"/>
        <v>444</v>
      </c>
      <c r="K280" t="s">
        <v>26</v>
      </c>
      <c r="L280" t="s">
        <v>16</v>
      </c>
      <c r="M280" t="s">
        <v>24</v>
      </c>
    </row>
    <row r="281" spans="1:13">
      <c r="A281" s="2">
        <v>46099</v>
      </c>
      <c r="B281" t="s">
        <v>42</v>
      </c>
      <c r="C281" t="s">
        <v>39</v>
      </c>
      <c r="D281" t="s">
        <v>27</v>
      </c>
      <c r="E281" s="4">
        <v>14</v>
      </c>
      <c r="F281" s="4">
        <v>9</v>
      </c>
      <c r="G281" s="4">
        <v>280</v>
      </c>
      <c r="H281" s="3">
        <v>8.5</v>
      </c>
      <c r="I281" s="3">
        <f t="shared" si="8"/>
        <v>119</v>
      </c>
      <c r="J281" s="3">
        <f t="shared" si="9"/>
        <v>399</v>
      </c>
      <c r="K281" t="s">
        <v>26</v>
      </c>
      <c r="L281" t="s">
        <v>16</v>
      </c>
      <c r="M281" t="s">
        <v>24</v>
      </c>
    </row>
    <row r="282" spans="1:13">
      <c r="A282" s="2">
        <v>46099</v>
      </c>
      <c r="B282" t="s">
        <v>42</v>
      </c>
      <c r="C282" t="s">
        <v>39</v>
      </c>
      <c r="D282" t="s">
        <v>29</v>
      </c>
      <c r="E282" s="4">
        <v>11</v>
      </c>
      <c r="F282" s="4">
        <v>7</v>
      </c>
      <c r="G282" s="4">
        <v>230</v>
      </c>
      <c r="H282" s="3">
        <v>7.5</v>
      </c>
      <c r="I282" s="3">
        <f t="shared" si="8"/>
        <v>82.5</v>
      </c>
      <c r="J282" s="3">
        <f t="shared" si="9"/>
        <v>312.5</v>
      </c>
      <c r="K282" t="s">
        <v>15</v>
      </c>
      <c r="L282" t="s">
        <v>16</v>
      </c>
      <c r="M282" t="s">
        <v>20</v>
      </c>
    </row>
    <row r="283" spans="1:13">
      <c r="A283" s="2">
        <v>46099</v>
      </c>
      <c r="B283" t="s">
        <v>42</v>
      </c>
      <c r="C283" t="s">
        <v>39</v>
      </c>
      <c r="D283" t="s">
        <v>30</v>
      </c>
      <c r="E283" s="4">
        <v>13</v>
      </c>
      <c r="F283" s="4">
        <v>8</v>
      </c>
      <c r="G283" s="4">
        <v>250</v>
      </c>
      <c r="H283" s="3">
        <v>8</v>
      </c>
      <c r="I283" s="3">
        <f t="shared" si="8"/>
        <v>104</v>
      </c>
      <c r="J283" s="3">
        <f t="shared" si="9"/>
        <v>354</v>
      </c>
      <c r="K283" t="s">
        <v>26</v>
      </c>
      <c r="L283" t="s">
        <v>16</v>
      </c>
      <c r="M283" t="s">
        <v>17</v>
      </c>
    </row>
    <row r="284" spans="1:13">
      <c r="A284" s="2">
        <v>46099</v>
      </c>
      <c r="B284" t="s">
        <v>42</v>
      </c>
      <c r="C284" t="s">
        <v>39</v>
      </c>
      <c r="D284" t="s">
        <v>31</v>
      </c>
      <c r="E284" s="4">
        <v>18</v>
      </c>
      <c r="F284" s="4">
        <v>11</v>
      </c>
      <c r="G284" s="4">
        <v>340</v>
      </c>
      <c r="H284" s="3">
        <v>9</v>
      </c>
      <c r="I284" s="3">
        <f t="shared" si="8"/>
        <v>162</v>
      </c>
      <c r="J284" s="3">
        <f t="shared" si="9"/>
        <v>502</v>
      </c>
      <c r="K284" t="s">
        <v>26</v>
      </c>
      <c r="L284" t="s">
        <v>16</v>
      </c>
      <c r="M284" t="s">
        <v>17</v>
      </c>
    </row>
    <row r="285" spans="1:13">
      <c r="A285" s="2">
        <v>46099</v>
      </c>
      <c r="B285" t="s">
        <v>42</v>
      </c>
      <c r="C285" t="s">
        <v>39</v>
      </c>
      <c r="D285" t="s">
        <v>32</v>
      </c>
      <c r="E285" s="4">
        <v>24</v>
      </c>
      <c r="F285" s="4">
        <v>14</v>
      </c>
      <c r="G285" s="4">
        <v>420</v>
      </c>
      <c r="H285" s="3">
        <v>10</v>
      </c>
      <c r="I285" s="3">
        <f t="shared" si="8"/>
        <v>240</v>
      </c>
      <c r="J285" s="3">
        <f t="shared" si="9"/>
        <v>660</v>
      </c>
      <c r="K285" t="s">
        <v>40</v>
      </c>
      <c r="L285" t="s">
        <v>28</v>
      </c>
      <c r="M285" t="s">
        <v>24</v>
      </c>
    </row>
    <row r="286" spans="1:13">
      <c r="A286" s="2">
        <v>46099</v>
      </c>
      <c r="B286" t="s">
        <v>42</v>
      </c>
      <c r="C286" t="s">
        <v>39</v>
      </c>
      <c r="D286" t="s">
        <v>33</v>
      </c>
      <c r="E286" s="4">
        <v>20</v>
      </c>
      <c r="F286" s="4">
        <v>12</v>
      </c>
      <c r="G286" s="4">
        <v>360</v>
      </c>
      <c r="H286" s="3">
        <v>9.5</v>
      </c>
      <c r="I286" s="3">
        <f t="shared" si="8"/>
        <v>190</v>
      </c>
      <c r="J286" s="3">
        <f t="shared" si="9"/>
        <v>550</v>
      </c>
      <c r="K286" t="s">
        <v>40</v>
      </c>
      <c r="L286" t="s">
        <v>28</v>
      </c>
      <c r="M286" t="s">
        <v>24</v>
      </c>
    </row>
    <row r="287" spans="1:13">
      <c r="A287" s="2">
        <v>46099</v>
      </c>
      <c r="B287" t="s">
        <v>42</v>
      </c>
      <c r="C287" t="s">
        <v>39</v>
      </c>
      <c r="D287" t="s">
        <v>34</v>
      </c>
      <c r="E287" s="4">
        <v>15</v>
      </c>
      <c r="F287" s="4">
        <v>8</v>
      </c>
      <c r="G287" s="4">
        <v>280</v>
      </c>
      <c r="H287" s="3">
        <v>8.5</v>
      </c>
      <c r="I287" s="3">
        <f t="shared" si="8"/>
        <v>127.5</v>
      </c>
      <c r="J287" s="3">
        <f t="shared" si="9"/>
        <v>407.5</v>
      </c>
      <c r="K287" t="s">
        <v>26</v>
      </c>
      <c r="L287" t="s">
        <v>16</v>
      </c>
      <c r="M287" t="s">
        <v>20</v>
      </c>
    </row>
    <row r="288" spans="1:13">
      <c r="A288" s="2">
        <v>46099</v>
      </c>
      <c r="B288" t="s">
        <v>42</v>
      </c>
      <c r="C288" t="s">
        <v>39</v>
      </c>
      <c r="D288" t="s">
        <v>36</v>
      </c>
      <c r="E288" s="4">
        <v>11</v>
      </c>
      <c r="F288" s="4">
        <v>5</v>
      </c>
      <c r="G288" s="4">
        <v>210</v>
      </c>
      <c r="H288" s="3">
        <v>7.5</v>
      </c>
      <c r="I288" s="3">
        <f t="shared" si="8"/>
        <v>82.5</v>
      </c>
      <c r="J288" s="3">
        <f t="shared" si="9"/>
        <v>292.5</v>
      </c>
      <c r="K288" t="s">
        <v>15</v>
      </c>
      <c r="L288" t="s">
        <v>16</v>
      </c>
      <c r="M288" t="s">
        <v>35</v>
      </c>
    </row>
    <row r="289" spans="1:13">
      <c r="A289" s="2">
        <v>46099</v>
      </c>
      <c r="B289" t="s">
        <v>42</v>
      </c>
      <c r="C289" t="s">
        <v>39</v>
      </c>
      <c r="D289" t="s">
        <v>37</v>
      </c>
      <c r="E289" s="4">
        <v>7</v>
      </c>
      <c r="F289" s="4">
        <v>3</v>
      </c>
      <c r="G289" s="4">
        <v>150</v>
      </c>
      <c r="H289" s="3">
        <v>7</v>
      </c>
      <c r="I289" s="3">
        <f t="shared" si="8"/>
        <v>49</v>
      </c>
      <c r="J289" s="3">
        <f t="shared" si="9"/>
        <v>199</v>
      </c>
      <c r="K289" t="s">
        <v>15</v>
      </c>
      <c r="L289" t="s">
        <v>16</v>
      </c>
      <c r="M289" t="s">
        <v>35</v>
      </c>
    </row>
    <row r="290" spans="1:13">
      <c r="A290" s="2">
        <v>46100</v>
      </c>
      <c r="B290" t="s">
        <v>43</v>
      </c>
      <c r="C290" t="s">
        <v>39</v>
      </c>
      <c r="D290" t="s">
        <v>14</v>
      </c>
      <c r="E290" s="4">
        <v>8</v>
      </c>
      <c r="F290" s="4">
        <v>2</v>
      </c>
      <c r="G290" s="4">
        <v>180</v>
      </c>
      <c r="H290" s="3">
        <v>6</v>
      </c>
      <c r="I290" s="3">
        <f t="shared" si="8"/>
        <v>48</v>
      </c>
      <c r="J290" s="3">
        <f t="shared" si="9"/>
        <v>228</v>
      </c>
      <c r="K290" t="s">
        <v>15</v>
      </c>
      <c r="L290" t="s">
        <v>16</v>
      </c>
      <c r="M290" t="s">
        <v>17</v>
      </c>
    </row>
    <row r="291" spans="1:13">
      <c r="A291" s="2">
        <v>46100</v>
      </c>
      <c r="B291" t="s">
        <v>43</v>
      </c>
      <c r="C291" t="s">
        <v>39</v>
      </c>
      <c r="D291" t="s">
        <v>18</v>
      </c>
      <c r="E291" s="4">
        <v>12</v>
      </c>
      <c r="F291" s="4">
        <v>3</v>
      </c>
      <c r="G291" s="4">
        <v>260</v>
      </c>
      <c r="H291" s="3">
        <v>6.5</v>
      </c>
      <c r="I291" s="3">
        <f t="shared" si="8"/>
        <v>78</v>
      </c>
      <c r="J291" s="3">
        <f t="shared" si="9"/>
        <v>338</v>
      </c>
      <c r="K291" t="s">
        <v>15</v>
      </c>
      <c r="L291" t="s">
        <v>16</v>
      </c>
      <c r="M291" t="s">
        <v>17</v>
      </c>
    </row>
    <row r="292" spans="1:13">
      <c r="A292" s="2">
        <v>46100</v>
      </c>
      <c r="B292" t="s">
        <v>43</v>
      </c>
      <c r="C292" t="s">
        <v>39</v>
      </c>
      <c r="D292" t="s">
        <v>19</v>
      </c>
      <c r="E292" s="4">
        <v>15</v>
      </c>
      <c r="F292" s="4">
        <v>4</v>
      </c>
      <c r="G292" s="4">
        <v>310</v>
      </c>
      <c r="H292" s="3">
        <v>7</v>
      </c>
      <c r="I292" s="3">
        <f t="shared" si="8"/>
        <v>105</v>
      </c>
      <c r="J292" s="3">
        <f t="shared" si="9"/>
        <v>415</v>
      </c>
      <c r="K292" t="s">
        <v>15</v>
      </c>
      <c r="L292" t="s">
        <v>16</v>
      </c>
      <c r="M292" t="s">
        <v>17</v>
      </c>
    </row>
    <row r="293" spans="1:13">
      <c r="A293" s="2">
        <v>46100</v>
      </c>
      <c r="B293" t="s">
        <v>43</v>
      </c>
      <c r="C293" t="s">
        <v>39</v>
      </c>
      <c r="D293" t="s">
        <v>21</v>
      </c>
      <c r="E293" s="4">
        <v>10</v>
      </c>
      <c r="F293" s="4">
        <v>3</v>
      </c>
      <c r="G293" s="4">
        <v>220</v>
      </c>
      <c r="H293" s="3">
        <v>7</v>
      </c>
      <c r="I293" s="3">
        <f t="shared" si="8"/>
        <v>70</v>
      </c>
      <c r="J293" s="3">
        <f t="shared" si="9"/>
        <v>290</v>
      </c>
      <c r="K293" t="s">
        <v>15</v>
      </c>
      <c r="L293" t="s">
        <v>16</v>
      </c>
      <c r="M293" t="s">
        <v>20</v>
      </c>
    </row>
    <row r="294" spans="1:13">
      <c r="A294" s="2">
        <v>46100</v>
      </c>
      <c r="B294" t="s">
        <v>43</v>
      </c>
      <c r="C294" t="s">
        <v>39</v>
      </c>
      <c r="D294" t="s">
        <v>22</v>
      </c>
      <c r="E294" s="4">
        <v>9</v>
      </c>
      <c r="F294" s="4">
        <v>4</v>
      </c>
      <c r="G294" s="4">
        <v>200</v>
      </c>
      <c r="H294" s="3">
        <v>7</v>
      </c>
      <c r="I294" s="3">
        <f t="shared" si="8"/>
        <v>63</v>
      </c>
      <c r="J294" s="3">
        <f t="shared" si="9"/>
        <v>263</v>
      </c>
      <c r="K294" t="s">
        <v>15</v>
      </c>
      <c r="L294" t="s">
        <v>16</v>
      </c>
      <c r="M294" t="s">
        <v>20</v>
      </c>
    </row>
    <row r="295" spans="1:13">
      <c r="A295" s="2">
        <v>46100</v>
      </c>
      <c r="B295" t="s">
        <v>43</v>
      </c>
      <c r="C295" t="s">
        <v>39</v>
      </c>
      <c r="D295" t="s">
        <v>23</v>
      </c>
      <c r="E295" s="4">
        <v>12</v>
      </c>
      <c r="F295" s="4">
        <v>7</v>
      </c>
      <c r="G295" s="4">
        <v>240</v>
      </c>
      <c r="H295" s="3">
        <v>8</v>
      </c>
      <c r="I295" s="3">
        <f t="shared" si="8"/>
        <v>96</v>
      </c>
      <c r="J295" s="3">
        <f t="shared" si="9"/>
        <v>336</v>
      </c>
      <c r="K295" t="s">
        <v>26</v>
      </c>
      <c r="L295" t="s">
        <v>16</v>
      </c>
      <c r="M295" t="s">
        <v>24</v>
      </c>
    </row>
    <row r="296" spans="1:13">
      <c r="A296" s="2">
        <v>46100</v>
      </c>
      <c r="B296" t="s">
        <v>43</v>
      </c>
      <c r="C296" t="s">
        <v>39</v>
      </c>
      <c r="D296" t="s">
        <v>25</v>
      </c>
      <c r="E296" s="4">
        <v>16</v>
      </c>
      <c r="F296" s="4">
        <v>10</v>
      </c>
      <c r="G296" s="4">
        <v>300</v>
      </c>
      <c r="H296" s="3">
        <v>9</v>
      </c>
      <c r="I296" s="3">
        <f t="shared" si="8"/>
        <v>144</v>
      </c>
      <c r="J296" s="3">
        <f t="shared" si="9"/>
        <v>444</v>
      </c>
      <c r="K296" t="s">
        <v>26</v>
      </c>
      <c r="L296" t="s">
        <v>16</v>
      </c>
      <c r="M296" t="s">
        <v>24</v>
      </c>
    </row>
    <row r="297" spans="1:13">
      <c r="A297" s="2">
        <v>46100</v>
      </c>
      <c r="B297" t="s">
        <v>43</v>
      </c>
      <c r="C297" t="s">
        <v>39</v>
      </c>
      <c r="D297" t="s">
        <v>27</v>
      </c>
      <c r="E297" s="4">
        <v>14</v>
      </c>
      <c r="F297" s="4">
        <v>9</v>
      </c>
      <c r="G297" s="4">
        <v>280</v>
      </c>
      <c r="H297" s="3">
        <v>8.5</v>
      </c>
      <c r="I297" s="3">
        <f t="shared" si="8"/>
        <v>119</v>
      </c>
      <c r="J297" s="3">
        <f t="shared" si="9"/>
        <v>399</v>
      </c>
      <c r="K297" t="s">
        <v>26</v>
      </c>
      <c r="L297" t="s">
        <v>16</v>
      </c>
      <c r="M297" t="s">
        <v>24</v>
      </c>
    </row>
    <row r="298" spans="1:13">
      <c r="A298" s="2">
        <v>46100</v>
      </c>
      <c r="B298" t="s">
        <v>43</v>
      </c>
      <c r="C298" t="s">
        <v>39</v>
      </c>
      <c r="D298" t="s">
        <v>29</v>
      </c>
      <c r="E298" s="4">
        <v>11</v>
      </c>
      <c r="F298" s="4">
        <v>7</v>
      </c>
      <c r="G298" s="4">
        <v>230</v>
      </c>
      <c r="H298" s="3">
        <v>7.5</v>
      </c>
      <c r="I298" s="3">
        <f t="shared" si="8"/>
        <v>82.5</v>
      </c>
      <c r="J298" s="3">
        <f t="shared" si="9"/>
        <v>312.5</v>
      </c>
      <c r="K298" t="s">
        <v>15</v>
      </c>
      <c r="L298" t="s">
        <v>16</v>
      </c>
      <c r="M298" t="s">
        <v>20</v>
      </c>
    </row>
    <row r="299" spans="1:13">
      <c r="A299" s="2">
        <v>46100</v>
      </c>
      <c r="B299" t="s">
        <v>43</v>
      </c>
      <c r="C299" t="s">
        <v>39</v>
      </c>
      <c r="D299" t="s">
        <v>30</v>
      </c>
      <c r="E299" s="4">
        <v>13</v>
      </c>
      <c r="F299" s="4">
        <v>8</v>
      </c>
      <c r="G299" s="4">
        <v>250</v>
      </c>
      <c r="H299" s="3">
        <v>8</v>
      </c>
      <c r="I299" s="3">
        <f t="shared" si="8"/>
        <v>104</v>
      </c>
      <c r="J299" s="3">
        <f t="shared" si="9"/>
        <v>354</v>
      </c>
      <c r="K299" t="s">
        <v>26</v>
      </c>
      <c r="L299" t="s">
        <v>16</v>
      </c>
      <c r="M299" t="s">
        <v>17</v>
      </c>
    </row>
    <row r="300" spans="1:13">
      <c r="A300" s="2">
        <v>46100</v>
      </c>
      <c r="B300" t="s">
        <v>43</v>
      </c>
      <c r="C300" t="s">
        <v>39</v>
      </c>
      <c r="D300" t="s">
        <v>31</v>
      </c>
      <c r="E300" s="4">
        <v>18</v>
      </c>
      <c r="F300" s="4">
        <v>11</v>
      </c>
      <c r="G300" s="4">
        <v>340</v>
      </c>
      <c r="H300" s="3">
        <v>9</v>
      </c>
      <c r="I300" s="3">
        <f t="shared" si="8"/>
        <v>162</v>
      </c>
      <c r="J300" s="3">
        <f t="shared" si="9"/>
        <v>502</v>
      </c>
      <c r="K300" t="s">
        <v>26</v>
      </c>
      <c r="L300" t="s">
        <v>16</v>
      </c>
      <c r="M300" t="s">
        <v>17</v>
      </c>
    </row>
    <row r="301" spans="1:13">
      <c r="A301" s="2">
        <v>46100</v>
      </c>
      <c r="B301" t="s">
        <v>43</v>
      </c>
      <c r="C301" t="s">
        <v>39</v>
      </c>
      <c r="D301" t="s">
        <v>32</v>
      </c>
      <c r="E301" s="4">
        <v>24</v>
      </c>
      <c r="F301" s="4">
        <v>14</v>
      </c>
      <c r="G301" s="4">
        <v>420</v>
      </c>
      <c r="H301" s="3">
        <v>10</v>
      </c>
      <c r="I301" s="3">
        <f t="shared" si="8"/>
        <v>240</v>
      </c>
      <c r="J301" s="3">
        <f t="shared" si="9"/>
        <v>660</v>
      </c>
      <c r="K301" t="s">
        <v>40</v>
      </c>
      <c r="L301" t="s">
        <v>28</v>
      </c>
      <c r="M301" t="s">
        <v>24</v>
      </c>
    </row>
    <row r="302" spans="1:13">
      <c r="A302" s="2">
        <v>46100</v>
      </c>
      <c r="B302" t="s">
        <v>43</v>
      </c>
      <c r="C302" t="s">
        <v>39</v>
      </c>
      <c r="D302" t="s">
        <v>33</v>
      </c>
      <c r="E302" s="4">
        <v>20</v>
      </c>
      <c r="F302" s="4">
        <v>12</v>
      </c>
      <c r="G302" s="4">
        <v>360</v>
      </c>
      <c r="H302" s="3">
        <v>9.5</v>
      </c>
      <c r="I302" s="3">
        <f t="shared" si="8"/>
        <v>190</v>
      </c>
      <c r="J302" s="3">
        <f t="shared" si="9"/>
        <v>550</v>
      </c>
      <c r="K302" t="s">
        <v>40</v>
      </c>
      <c r="L302" t="s">
        <v>28</v>
      </c>
      <c r="M302" t="s">
        <v>24</v>
      </c>
    </row>
    <row r="303" spans="1:13">
      <c r="A303" s="2">
        <v>46100</v>
      </c>
      <c r="B303" t="s">
        <v>43</v>
      </c>
      <c r="C303" t="s">
        <v>39</v>
      </c>
      <c r="D303" t="s">
        <v>34</v>
      </c>
      <c r="E303" s="4">
        <v>15</v>
      </c>
      <c r="F303" s="4">
        <v>8</v>
      </c>
      <c r="G303" s="4">
        <v>280</v>
      </c>
      <c r="H303" s="3">
        <v>8.5</v>
      </c>
      <c r="I303" s="3">
        <f t="shared" si="8"/>
        <v>127.5</v>
      </c>
      <c r="J303" s="3">
        <f t="shared" si="9"/>
        <v>407.5</v>
      </c>
      <c r="K303" t="s">
        <v>26</v>
      </c>
      <c r="L303" t="s">
        <v>16</v>
      </c>
      <c r="M303" t="s">
        <v>20</v>
      </c>
    </row>
    <row r="304" spans="1:13">
      <c r="A304" s="2">
        <v>46100</v>
      </c>
      <c r="B304" t="s">
        <v>43</v>
      </c>
      <c r="C304" t="s">
        <v>39</v>
      </c>
      <c r="D304" t="s">
        <v>36</v>
      </c>
      <c r="E304" s="4">
        <v>11</v>
      </c>
      <c r="F304" s="4">
        <v>5</v>
      </c>
      <c r="G304" s="4">
        <v>210</v>
      </c>
      <c r="H304" s="3">
        <v>7.5</v>
      </c>
      <c r="I304" s="3">
        <f t="shared" si="8"/>
        <v>82.5</v>
      </c>
      <c r="J304" s="3">
        <f t="shared" si="9"/>
        <v>292.5</v>
      </c>
      <c r="K304" t="s">
        <v>15</v>
      </c>
      <c r="L304" t="s">
        <v>16</v>
      </c>
      <c r="M304" t="s">
        <v>35</v>
      </c>
    </row>
    <row r="305" spans="1:13">
      <c r="A305" s="2">
        <v>46100</v>
      </c>
      <c r="B305" t="s">
        <v>43</v>
      </c>
      <c r="C305" t="s">
        <v>39</v>
      </c>
      <c r="D305" t="s">
        <v>37</v>
      </c>
      <c r="E305" s="4">
        <v>7</v>
      </c>
      <c r="F305" s="4">
        <v>3</v>
      </c>
      <c r="G305" s="4">
        <v>150</v>
      </c>
      <c r="H305" s="3">
        <v>7</v>
      </c>
      <c r="I305" s="3">
        <f t="shared" si="8"/>
        <v>49</v>
      </c>
      <c r="J305" s="3">
        <f t="shared" si="9"/>
        <v>199</v>
      </c>
      <c r="K305" t="s">
        <v>15</v>
      </c>
      <c r="L305" t="s">
        <v>16</v>
      </c>
      <c r="M305" t="s">
        <v>35</v>
      </c>
    </row>
    <row r="306" spans="1:13">
      <c r="A306" s="2">
        <v>46101</v>
      </c>
      <c r="B306" t="s">
        <v>44</v>
      </c>
      <c r="C306" t="s">
        <v>39</v>
      </c>
      <c r="D306" t="s">
        <v>14</v>
      </c>
      <c r="E306" s="4">
        <v>8</v>
      </c>
      <c r="F306" s="4">
        <v>2</v>
      </c>
      <c r="G306" s="4">
        <v>180</v>
      </c>
      <c r="H306" s="3">
        <v>6</v>
      </c>
      <c r="I306" s="3">
        <f t="shared" si="8"/>
        <v>48</v>
      </c>
      <c r="J306" s="3">
        <f t="shared" si="9"/>
        <v>228</v>
      </c>
      <c r="K306" t="s">
        <v>15</v>
      </c>
      <c r="L306" t="s">
        <v>16</v>
      </c>
      <c r="M306" t="s">
        <v>17</v>
      </c>
    </row>
    <row r="307" spans="1:13">
      <c r="A307" s="2">
        <v>46101</v>
      </c>
      <c r="B307" t="s">
        <v>44</v>
      </c>
      <c r="C307" t="s">
        <v>39</v>
      </c>
      <c r="D307" t="s">
        <v>18</v>
      </c>
      <c r="E307" s="4">
        <v>12</v>
      </c>
      <c r="F307" s="4">
        <v>3</v>
      </c>
      <c r="G307" s="4">
        <v>260</v>
      </c>
      <c r="H307" s="3">
        <v>6.5</v>
      </c>
      <c r="I307" s="3">
        <f t="shared" si="8"/>
        <v>78</v>
      </c>
      <c r="J307" s="3">
        <f t="shared" si="9"/>
        <v>338</v>
      </c>
      <c r="K307" t="s">
        <v>15</v>
      </c>
      <c r="L307" t="s">
        <v>16</v>
      </c>
      <c r="M307" t="s">
        <v>17</v>
      </c>
    </row>
    <row r="308" spans="1:13">
      <c r="A308" s="2">
        <v>46101</v>
      </c>
      <c r="B308" t="s">
        <v>44</v>
      </c>
      <c r="C308" t="s">
        <v>39</v>
      </c>
      <c r="D308" t="s">
        <v>19</v>
      </c>
      <c r="E308" s="4">
        <v>15</v>
      </c>
      <c r="F308" s="4">
        <v>4</v>
      </c>
      <c r="G308" s="4">
        <v>310</v>
      </c>
      <c r="H308" s="3">
        <v>7</v>
      </c>
      <c r="I308" s="3">
        <f t="shared" si="8"/>
        <v>105</v>
      </c>
      <c r="J308" s="3">
        <f t="shared" si="9"/>
        <v>415</v>
      </c>
      <c r="K308" t="s">
        <v>15</v>
      </c>
      <c r="L308" t="s">
        <v>16</v>
      </c>
      <c r="M308" t="s">
        <v>17</v>
      </c>
    </row>
    <row r="309" spans="1:13">
      <c r="A309" s="2">
        <v>46101</v>
      </c>
      <c r="B309" t="s">
        <v>44</v>
      </c>
      <c r="C309" t="s">
        <v>39</v>
      </c>
      <c r="D309" t="s">
        <v>21</v>
      </c>
      <c r="E309" s="4">
        <v>10</v>
      </c>
      <c r="F309" s="4">
        <v>3</v>
      </c>
      <c r="G309" s="4">
        <v>220</v>
      </c>
      <c r="H309" s="3">
        <v>7</v>
      </c>
      <c r="I309" s="3">
        <f t="shared" si="8"/>
        <v>70</v>
      </c>
      <c r="J309" s="3">
        <f t="shared" si="9"/>
        <v>290</v>
      </c>
      <c r="K309" t="s">
        <v>15</v>
      </c>
      <c r="L309" t="s">
        <v>16</v>
      </c>
      <c r="M309" t="s">
        <v>20</v>
      </c>
    </row>
    <row r="310" spans="1:13">
      <c r="A310" s="2">
        <v>46101</v>
      </c>
      <c r="B310" t="s">
        <v>44</v>
      </c>
      <c r="C310" t="s">
        <v>39</v>
      </c>
      <c r="D310" t="s">
        <v>22</v>
      </c>
      <c r="E310" s="4">
        <v>9</v>
      </c>
      <c r="F310" s="4">
        <v>4</v>
      </c>
      <c r="G310" s="4">
        <v>200</v>
      </c>
      <c r="H310" s="3">
        <v>7</v>
      </c>
      <c r="I310" s="3">
        <f t="shared" si="8"/>
        <v>63</v>
      </c>
      <c r="J310" s="3">
        <f t="shared" si="9"/>
        <v>263</v>
      </c>
      <c r="K310" t="s">
        <v>15</v>
      </c>
      <c r="L310" t="s">
        <v>16</v>
      </c>
      <c r="M310" t="s">
        <v>20</v>
      </c>
    </row>
    <row r="311" spans="1:13">
      <c r="A311" s="2">
        <v>46101</v>
      </c>
      <c r="B311" t="s">
        <v>44</v>
      </c>
      <c r="C311" t="s">
        <v>39</v>
      </c>
      <c r="D311" t="s">
        <v>23</v>
      </c>
      <c r="E311" s="4">
        <v>12</v>
      </c>
      <c r="F311" s="4">
        <v>7</v>
      </c>
      <c r="G311" s="4">
        <v>240</v>
      </c>
      <c r="H311" s="3">
        <v>8</v>
      </c>
      <c r="I311" s="3">
        <f t="shared" si="8"/>
        <v>96</v>
      </c>
      <c r="J311" s="3">
        <f t="shared" si="9"/>
        <v>336</v>
      </c>
      <c r="K311" t="s">
        <v>26</v>
      </c>
      <c r="L311" t="s">
        <v>16</v>
      </c>
      <c r="M311" t="s">
        <v>24</v>
      </c>
    </row>
    <row r="312" spans="1:13">
      <c r="A312" s="2">
        <v>46101</v>
      </c>
      <c r="B312" t="s">
        <v>44</v>
      </c>
      <c r="C312" t="s">
        <v>39</v>
      </c>
      <c r="D312" t="s">
        <v>25</v>
      </c>
      <c r="E312" s="4">
        <v>16</v>
      </c>
      <c r="F312" s="4">
        <v>10</v>
      </c>
      <c r="G312" s="4">
        <v>300</v>
      </c>
      <c r="H312" s="3">
        <v>9</v>
      </c>
      <c r="I312" s="3">
        <f t="shared" si="8"/>
        <v>144</v>
      </c>
      <c r="J312" s="3">
        <f t="shared" si="9"/>
        <v>444</v>
      </c>
      <c r="K312" t="s">
        <v>26</v>
      </c>
      <c r="L312" t="s">
        <v>16</v>
      </c>
      <c r="M312" t="s">
        <v>24</v>
      </c>
    </row>
    <row r="313" spans="1:13">
      <c r="A313" s="2">
        <v>46101</v>
      </c>
      <c r="B313" t="s">
        <v>44</v>
      </c>
      <c r="C313" t="s">
        <v>39</v>
      </c>
      <c r="D313" t="s">
        <v>27</v>
      </c>
      <c r="E313" s="4">
        <v>14</v>
      </c>
      <c r="F313" s="4">
        <v>9</v>
      </c>
      <c r="G313" s="4">
        <v>280</v>
      </c>
      <c r="H313" s="3">
        <v>8.5</v>
      </c>
      <c r="I313" s="3">
        <f t="shared" si="8"/>
        <v>119</v>
      </c>
      <c r="J313" s="3">
        <f t="shared" si="9"/>
        <v>399</v>
      </c>
      <c r="K313" t="s">
        <v>26</v>
      </c>
      <c r="L313" t="s">
        <v>16</v>
      </c>
      <c r="M313" t="s">
        <v>24</v>
      </c>
    </row>
    <row r="314" spans="1:13">
      <c r="A314" s="2">
        <v>46101</v>
      </c>
      <c r="B314" t="s">
        <v>44</v>
      </c>
      <c r="C314" t="s">
        <v>39</v>
      </c>
      <c r="D314" t="s">
        <v>29</v>
      </c>
      <c r="E314" s="4">
        <v>11</v>
      </c>
      <c r="F314" s="4">
        <v>7</v>
      </c>
      <c r="G314" s="4">
        <v>230</v>
      </c>
      <c r="H314" s="3">
        <v>7.5</v>
      </c>
      <c r="I314" s="3">
        <f t="shared" si="8"/>
        <v>82.5</v>
      </c>
      <c r="J314" s="3">
        <f t="shared" si="9"/>
        <v>312.5</v>
      </c>
      <c r="K314" t="s">
        <v>15</v>
      </c>
      <c r="L314" t="s">
        <v>16</v>
      </c>
      <c r="M314" t="s">
        <v>20</v>
      </c>
    </row>
    <row r="315" spans="1:13">
      <c r="A315" s="2">
        <v>46101</v>
      </c>
      <c r="B315" t="s">
        <v>44</v>
      </c>
      <c r="C315" t="s">
        <v>39</v>
      </c>
      <c r="D315" t="s">
        <v>30</v>
      </c>
      <c r="E315" s="4">
        <v>13</v>
      </c>
      <c r="F315" s="4">
        <v>8</v>
      </c>
      <c r="G315" s="4">
        <v>250</v>
      </c>
      <c r="H315" s="3">
        <v>8</v>
      </c>
      <c r="I315" s="3">
        <f t="shared" si="8"/>
        <v>104</v>
      </c>
      <c r="J315" s="3">
        <f t="shared" si="9"/>
        <v>354</v>
      </c>
      <c r="K315" t="s">
        <v>26</v>
      </c>
      <c r="L315" t="s">
        <v>16</v>
      </c>
      <c r="M315" t="s">
        <v>17</v>
      </c>
    </row>
    <row r="316" spans="1:13">
      <c r="A316" s="2">
        <v>46101</v>
      </c>
      <c r="B316" t="s">
        <v>44</v>
      </c>
      <c r="C316" t="s">
        <v>39</v>
      </c>
      <c r="D316" t="s">
        <v>31</v>
      </c>
      <c r="E316" s="4">
        <v>18</v>
      </c>
      <c r="F316" s="4">
        <v>11</v>
      </c>
      <c r="G316" s="4">
        <v>340</v>
      </c>
      <c r="H316" s="3">
        <v>9</v>
      </c>
      <c r="I316" s="3">
        <f t="shared" si="8"/>
        <v>162</v>
      </c>
      <c r="J316" s="3">
        <f t="shared" si="9"/>
        <v>502</v>
      </c>
      <c r="K316" t="s">
        <v>26</v>
      </c>
      <c r="L316" t="s">
        <v>16</v>
      </c>
      <c r="M316" t="s">
        <v>17</v>
      </c>
    </row>
    <row r="317" spans="1:13">
      <c r="A317" s="2">
        <v>46101</v>
      </c>
      <c r="B317" t="s">
        <v>44</v>
      </c>
      <c r="C317" t="s">
        <v>39</v>
      </c>
      <c r="D317" t="s">
        <v>32</v>
      </c>
      <c r="E317" s="4">
        <v>24</v>
      </c>
      <c r="F317" s="4">
        <v>14</v>
      </c>
      <c r="G317" s="4">
        <v>420</v>
      </c>
      <c r="H317" s="3">
        <v>10</v>
      </c>
      <c r="I317" s="3">
        <f t="shared" si="8"/>
        <v>240</v>
      </c>
      <c r="J317" s="3">
        <f t="shared" si="9"/>
        <v>660</v>
      </c>
      <c r="K317" t="s">
        <v>40</v>
      </c>
      <c r="L317" t="s">
        <v>28</v>
      </c>
      <c r="M317" t="s">
        <v>24</v>
      </c>
    </row>
    <row r="318" spans="1:13">
      <c r="A318" s="2">
        <v>46101</v>
      </c>
      <c r="B318" t="s">
        <v>44</v>
      </c>
      <c r="C318" t="s">
        <v>39</v>
      </c>
      <c r="D318" t="s">
        <v>33</v>
      </c>
      <c r="E318" s="4">
        <v>20</v>
      </c>
      <c r="F318" s="4">
        <v>12</v>
      </c>
      <c r="G318" s="4">
        <v>360</v>
      </c>
      <c r="H318" s="3">
        <v>9.5</v>
      </c>
      <c r="I318" s="3">
        <f t="shared" si="8"/>
        <v>190</v>
      </c>
      <c r="J318" s="3">
        <f t="shared" si="9"/>
        <v>550</v>
      </c>
      <c r="K318" t="s">
        <v>40</v>
      </c>
      <c r="L318" t="s">
        <v>28</v>
      </c>
      <c r="M318" t="s">
        <v>24</v>
      </c>
    </row>
    <row r="319" spans="1:13">
      <c r="A319" s="2">
        <v>46101</v>
      </c>
      <c r="B319" t="s">
        <v>44</v>
      </c>
      <c r="C319" t="s">
        <v>39</v>
      </c>
      <c r="D319" t="s">
        <v>34</v>
      </c>
      <c r="E319" s="4">
        <v>15</v>
      </c>
      <c r="F319" s="4">
        <v>8</v>
      </c>
      <c r="G319" s="4">
        <v>280</v>
      </c>
      <c r="H319" s="3">
        <v>8.5</v>
      </c>
      <c r="I319" s="3">
        <f t="shared" si="8"/>
        <v>127.5</v>
      </c>
      <c r="J319" s="3">
        <f t="shared" si="9"/>
        <v>407.5</v>
      </c>
      <c r="K319" t="s">
        <v>26</v>
      </c>
      <c r="L319" t="s">
        <v>16</v>
      </c>
      <c r="M319" t="s">
        <v>20</v>
      </c>
    </row>
    <row r="320" spans="1:13">
      <c r="A320" s="2">
        <v>46101</v>
      </c>
      <c r="B320" t="s">
        <v>44</v>
      </c>
      <c r="C320" t="s">
        <v>39</v>
      </c>
      <c r="D320" t="s">
        <v>36</v>
      </c>
      <c r="E320" s="4">
        <v>11</v>
      </c>
      <c r="F320" s="4">
        <v>5</v>
      </c>
      <c r="G320" s="4">
        <v>210</v>
      </c>
      <c r="H320" s="3">
        <v>7.5</v>
      </c>
      <c r="I320" s="3">
        <f t="shared" si="8"/>
        <v>82.5</v>
      </c>
      <c r="J320" s="3">
        <f t="shared" si="9"/>
        <v>292.5</v>
      </c>
      <c r="K320" t="s">
        <v>15</v>
      </c>
      <c r="L320" t="s">
        <v>16</v>
      </c>
      <c r="M320" t="s">
        <v>35</v>
      </c>
    </row>
    <row r="321" spans="1:13">
      <c r="A321" s="2">
        <v>46101</v>
      </c>
      <c r="B321" t="s">
        <v>44</v>
      </c>
      <c r="C321" t="s">
        <v>39</v>
      </c>
      <c r="D321" t="s">
        <v>37</v>
      </c>
      <c r="E321" s="4">
        <v>7</v>
      </c>
      <c r="F321" s="4">
        <v>3</v>
      </c>
      <c r="G321" s="4">
        <v>150</v>
      </c>
      <c r="H321" s="3">
        <v>7</v>
      </c>
      <c r="I321" s="3">
        <f t="shared" si="8"/>
        <v>49</v>
      </c>
      <c r="J321" s="3">
        <f t="shared" si="9"/>
        <v>199</v>
      </c>
      <c r="K321" t="s">
        <v>15</v>
      </c>
      <c r="L321" t="s">
        <v>16</v>
      </c>
      <c r="M321" t="s">
        <v>35</v>
      </c>
    </row>
    <row r="322" spans="1:13">
      <c r="A322" s="2">
        <v>46102</v>
      </c>
      <c r="B322" t="s">
        <v>45</v>
      </c>
      <c r="C322" t="s">
        <v>45</v>
      </c>
      <c r="D322" t="s">
        <v>14</v>
      </c>
      <c r="E322" s="4">
        <v>5</v>
      </c>
      <c r="F322" s="4">
        <v>1</v>
      </c>
      <c r="G322" s="4">
        <v>120</v>
      </c>
      <c r="H322" s="3">
        <v>6</v>
      </c>
      <c r="I322" s="3">
        <f t="shared" ref="I322:I385" si="10">E322*H322</f>
        <v>30</v>
      </c>
      <c r="J322" s="3">
        <f t="shared" ref="J322:J385" si="11">G322+I322</f>
        <v>150</v>
      </c>
      <c r="K322" t="s">
        <v>15</v>
      </c>
      <c r="L322" t="s">
        <v>16</v>
      </c>
      <c r="M322" t="s">
        <v>17</v>
      </c>
    </row>
    <row r="323" spans="1:13">
      <c r="A323" s="2">
        <v>46102</v>
      </c>
      <c r="B323" t="s">
        <v>45</v>
      </c>
      <c r="C323" t="s">
        <v>45</v>
      </c>
      <c r="D323" t="s">
        <v>18</v>
      </c>
      <c r="E323" s="4">
        <v>6</v>
      </c>
      <c r="F323" s="4">
        <v>2</v>
      </c>
      <c r="G323" s="4">
        <v>140</v>
      </c>
      <c r="H323" s="3">
        <v>6.5</v>
      </c>
      <c r="I323" s="3">
        <f t="shared" si="10"/>
        <v>39</v>
      </c>
      <c r="J323" s="3">
        <f t="shared" si="11"/>
        <v>179</v>
      </c>
      <c r="K323" t="s">
        <v>15</v>
      </c>
      <c r="L323" t="s">
        <v>16</v>
      </c>
      <c r="M323" t="s">
        <v>17</v>
      </c>
    </row>
    <row r="324" spans="1:13">
      <c r="A324" s="2">
        <v>46102</v>
      </c>
      <c r="B324" t="s">
        <v>45</v>
      </c>
      <c r="C324" t="s">
        <v>45</v>
      </c>
      <c r="D324" t="s">
        <v>19</v>
      </c>
      <c r="E324" s="4">
        <v>7</v>
      </c>
      <c r="F324" s="4">
        <v>2</v>
      </c>
      <c r="G324" s="4">
        <v>160</v>
      </c>
      <c r="H324" s="3">
        <v>7</v>
      </c>
      <c r="I324" s="3">
        <f t="shared" si="10"/>
        <v>49</v>
      </c>
      <c r="J324" s="3">
        <f t="shared" si="11"/>
        <v>209</v>
      </c>
      <c r="K324" t="s">
        <v>15</v>
      </c>
      <c r="L324" t="s">
        <v>16</v>
      </c>
      <c r="M324" t="s">
        <v>20</v>
      </c>
    </row>
    <row r="325" spans="1:13">
      <c r="A325" s="2">
        <v>46102</v>
      </c>
      <c r="B325" t="s">
        <v>45</v>
      </c>
      <c r="C325" t="s">
        <v>45</v>
      </c>
      <c r="D325" t="s">
        <v>21</v>
      </c>
      <c r="E325" s="4">
        <v>8</v>
      </c>
      <c r="F325" s="4">
        <v>3</v>
      </c>
      <c r="G325" s="4">
        <v>180</v>
      </c>
      <c r="H325" s="3">
        <v>7</v>
      </c>
      <c r="I325" s="3">
        <f t="shared" si="10"/>
        <v>56</v>
      </c>
      <c r="J325" s="3">
        <f t="shared" si="11"/>
        <v>236</v>
      </c>
      <c r="K325" t="s">
        <v>15</v>
      </c>
      <c r="L325" t="s">
        <v>16</v>
      </c>
      <c r="M325" t="s">
        <v>20</v>
      </c>
    </row>
    <row r="326" spans="1:13">
      <c r="A326" s="2">
        <v>46102</v>
      </c>
      <c r="B326" t="s">
        <v>45</v>
      </c>
      <c r="C326" t="s">
        <v>45</v>
      </c>
      <c r="D326" t="s">
        <v>22</v>
      </c>
      <c r="E326" s="4">
        <v>10</v>
      </c>
      <c r="F326" s="4">
        <v>5</v>
      </c>
      <c r="G326" s="4">
        <v>210</v>
      </c>
      <c r="H326" s="3">
        <v>7.5</v>
      </c>
      <c r="I326" s="3">
        <f t="shared" si="10"/>
        <v>75</v>
      </c>
      <c r="J326" s="3">
        <f t="shared" si="11"/>
        <v>285</v>
      </c>
      <c r="K326" t="s">
        <v>15</v>
      </c>
      <c r="L326" t="s">
        <v>16</v>
      </c>
      <c r="M326" t="s">
        <v>20</v>
      </c>
    </row>
    <row r="327" spans="1:13">
      <c r="A327" s="2">
        <v>46102</v>
      </c>
      <c r="B327" t="s">
        <v>45</v>
      </c>
      <c r="C327" t="s">
        <v>45</v>
      </c>
      <c r="D327" t="s">
        <v>23</v>
      </c>
      <c r="E327" s="4">
        <v>13</v>
      </c>
      <c r="F327" s="4">
        <v>8</v>
      </c>
      <c r="G327" s="4">
        <v>250</v>
      </c>
      <c r="H327" s="3">
        <v>8.5</v>
      </c>
      <c r="I327" s="3">
        <f t="shared" si="10"/>
        <v>110.5</v>
      </c>
      <c r="J327" s="3">
        <f t="shared" si="11"/>
        <v>360.5</v>
      </c>
      <c r="K327" t="s">
        <v>26</v>
      </c>
      <c r="L327" t="s">
        <v>16</v>
      </c>
      <c r="M327" t="s">
        <v>24</v>
      </c>
    </row>
    <row r="328" spans="1:13">
      <c r="A328" s="2">
        <v>46102</v>
      </c>
      <c r="B328" t="s">
        <v>45</v>
      </c>
      <c r="C328" t="s">
        <v>45</v>
      </c>
      <c r="D328" t="s">
        <v>25</v>
      </c>
      <c r="E328" s="4">
        <v>18</v>
      </c>
      <c r="F328" s="4">
        <v>12</v>
      </c>
      <c r="G328" s="4">
        <v>320</v>
      </c>
      <c r="H328" s="3">
        <v>9.5</v>
      </c>
      <c r="I328" s="3">
        <f t="shared" si="10"/>
        <v>171</v>
      </c>
      <c r="J328" s="3">
        <f t="shared" si="11"/>
        <v>491</v>
      </c>
      <c r="K328" t="s">
        <v>26</v>
      </c>
      <c r="L328" t="s">
        <v>28</v>
      </c>
      <c r="M328" t="s">
        <v>24</v>
      </c>
    </row>
    <row r="329" spans="1:13">
      <c r="A329" s="2">
        <v>46102</v>
      </c>
      <c r="B329" t="s">
        <v>45</v>
      </c>
      <c r="C329" t="s">
        <v>45</v>
      </c>
      <c r="D329" t="s">
        <v>27</v>
      </c>
      <c r="E329" s="4">
        <v>21</v>
      </c>
      <c r="F329" s="4">
        <v>14</v>
      </c>
      <c r="G329" s="4">
        <v>360</v>
      </c>
      <c r="H329" s="3">
        <v>10</v>
      </c>
      <c r="I329" s="3">
        <f t="shared" si="10"/>
        <v>210</v>
      </c>
      <c r="J329" s="3">
        <f t="shared" si="11"/>
        <v>570</v>
      </c>
      <c r="K329" t="s">
        <v>40</v>
      </c>
      <c r="L329" t="s">
        <v>28</v>
      </c>
      <c r="M329" t="s">
        <v>24</v>
      </c>
    </row>
    <row r="330" spans="1:13">
      <c r="A330" s="2">
        <v>46102</v>
      </c>
      <c r="B330" t="s">
        <v>45</v>
      </c>
      <c r="C330" t="s">
        <v>45</v>
      </c>
      <c r="D330" t="s">
        <v>29</v>
      </c>
      <c r="E330" s="4">
        <v>23</v>
      </c>
      <c r="F330" s="4">
        <v>15</v>
      </c>
      <c r="G330" s="4">
        <v>390</v>
      </c>
      <c r="H330" s="3">
        <v>10.5</v>
      </c>
      <c r="I330" s="3">
        <f t="shared" si="10"/>
        <v>241.5</v>
      </c>
      <c r="J330" s="3">
        <f t="shared" si="11"/>
        <v>631.5</v>
      </c>
      <c r="K330" t="s">
        <v>40</v>
      </c>
      <c r="L330" t="s">
        <v>28</v>
      </c>
      <c r="M330" t="s">
        <v>17</v>
      </c>
    </row>
    <row r="331" spans="1:13">
      <c r="A331" s="2">
        <v>46102</v>
      </c>
      <c r="B331" t="s">
        <v>45</v>
      </c>
      <c r="C331" t="s">
        <v>45</v>
      </c>
      <c r="D331" t="s">
        <v>30</v>
      </c>
      <c r="E331" s="4">
        <v>22</v>
      </c>
      <c r="F331" s="4">
        <v>13</v>
      </c>
      <c r="G331" s="4">
        <v>370</v>
      </c>
      <c r="H331" s="3">
        <v>10</v>
      </c>
      <c r="I331" s="3">
        <f t="shared" si="10"/>
        <v>220</v>
      </c>
      <c r="J331" s="3">
        <f t="shared" si="11"/>
        <v>590</v>
      </c>
      <c r="K331" t="s">
        <v>40</v>
      </c>
      <c r="L331" t="s">
        <v>28</v>
      </c>
      <c r="M331" t="s">
        <v>17</v>
      </c>
    </row>
    <row r="332" spans="1:13">
      <c r="A332" s="2">
        <v>46102</v>
      </c>
      <c r="B332" t="s">
        <v>45</v>
      </c>
      <c r="C332" t="s">
        <v>45</v>
      </c>
      <c r="D332" t="s">
        <v>31</v>
      </c>
      <c r="E332" s="4">
        <v>19</v>
      </c>
      <c r="F332" s="4">
        <v>11</v>
      </c>
      <c r="G332" s="4">
        <v>340</v>
      </c>
      <c r="H332" s="3">
        <v>9</v>
      </c>
      <c r="I332" s="3">
        <f t="shared" si="10"/>
        <v>171</v>
      </c>
      <c r="J332" s="3">
        <f t="shared" si="11"/>
        <v>511</v>
      </c>
      <c r="K332" t="s">
        <v>26</v>
      </c>
      <c r="L332" t="s">
        <v>16</v>
      </c>
      <c r="M332" t="s">
        <v>17</v>
      </c>
    </row>
    <row r="333" spans="1:13">
      <c r="A333" s="2">
        <v>46102</v>
      </c>
      <c r="B333" t="s">
        <v>45</v>
      </c>
      <c r="C333" t="s">
        <v>45</v>
      </c>
      <c r="D333" t="s">
        <v>32</v>
      </c>
      <c r="E333" s="4">
        <v>17</v>
      </c>
      <c r="F333" s="4">
        <v>10</v>
      </c>
      <c r="G333" s="4">
        <v>300</v>
      </c>
      <c r="H333" s="3">
        <v>9</v>
      </c>
      <c r="I333" s="3">
        <f t="shared" si="10"/>
        <v>153</v>
      </c>
      <c r="J333" s="3">
        <f t="shared" si="11"/>
        <v>453</v>
      </c>
      <c r="K333" t="s">
        <v>26</v>
      </c>
      <c r="L333" t="s">
        <v>16</v>
      </c>
      <c r="M333" t="s">
        <v>20</v>
      </c>
    </row>
    <row r="334" spans="1:13">
      <c r="A334" s="2">
        <v>46102</v>
      </c>
      <c r="B334" t="s">
        <v>45</v>
      </c>
      <c r="C334" t="s">
        <v>45</v>
      </c>
      <c r="D334" t="s">
        <v>33</v>
      </c>
      <c r="E334" s="4">
        <v>15</v>
      </c>
      <c r="F334" s="4">
        <v>8</v>
      </c>
      <c r="G334" s="4">
        <v>270</v>
      </c>
      <c r="H334" s="3">
        <v>8.5</v>
      </c>
      <c r="I334" s="3">
        <f t="shared" si="10"/>
        <v>127.5</v>
      </c>
      <c r="J334" s="3">
        <f t="shared" si="11"/>
        <v>397.5</v>
      </c>
      <c r="K334" t="s">
        <v>26</v>
      </c>
      <c r="L334" t="s">
        <v>16</v>
      </c>
      <c r="M334" t="s">
        <v>20</v>
      </c>
    </row>
    <row r="335" spans="1:13">
      <c r="A335" s="2">
        <v>46102</v>
      </c>
      <c r="B335" t="s">
        <v>45</v>
      </c>
      <c r="C335" t="s">
        <v>45</v>
      </c>
      <c r="D335" t="s">
        <v>34</v>
      </c>
      <c r="E335" s="4">
        <v>13</v>
      </c>
      <c r="F335" s="4">
        <v>6</v>
      </c>
      <c r="G335" s="4">
        <v>230</v>
      </c>
      <c r="H335" s="3">
        <v>8</v>
      </c>
      <c r="I335" s="3">
        <f t="shared" si="10"/>
        <v>104</v>
      </c>
      <c r="J335" s="3">
        <f t="shared" si="11"/>
        <v>334</v>
      </c>
      <c r="K335" t="s">
        <v>15</v>
      </c>
      <c r="L335" t="s">
        <v>16</v>
      </c>
      <c r="M335" t="s">
        <v>35</v>
      </c>
    </row>
    <row r="336" spans="1:13">
      <c r="A336" s="2">
        <v>46102</v>
      </c>
      <c r="B336" t="s">
        <v>45</v>
      </c>
      <c r="C336" t="s">
        <v>45</v>
      </c>
      <c r="D336" t="s">
        <v>36</v>
      </c>
      <c r="E336" s="4">
        <v>10</v>
      </c>
      <c r="F336" s="4">
        <v>4</v>
      </c>
      <c r="G336" s="4">
        <v>190</v>
      </c>
      <c r="H336" s="3">
        <v>7.5</v>
      </c>
      <c r="I336" s="3">
        <f t="shared" si="10"/>
        <v>75</v>
      </c>
      <c r="J336" s="3">
        <f t="shared" si="11"/>
        <v>265</v>
      </c>
      <c r="K336" t="s">
        <v>15</v>
      </c>
      <c r="L336" t="s">
        <v>16</v>
      </c>
      <c r="M336" t="s">
        <v>35</v>
      </c>
    </row>
    <row r="337" spans="1:13">
      <c r="A337" s="2">
        <v>46102</v>
      </c>
      <c r="B337" t="s">
        <v>45</v>
      </c>
      <c r="C337" t="s">
        <v>45</v>
      </c>
      <c r="D337" t="s">
        <v>37</v>
      </c>
      <c r="E337" s="4">
        <v>7</v>
      </c>
      <c r="F337" s="4">
        <v>2</v>
      </c>
      <c r="G337" s="4">
        <v>140</v>
      </c>
      <c r="H337" s="3">
        <v>7</v>
      </c>
      <c r="I337" s="3">
        <f t="shared" si="10"/>
        <v>49</v>
      </c>
      <c r="J337" s="3">
        <f t="shared" si="11"/>
        <v>189</v>
      </c>
      <c r="K337" t="s">
        <v>15</v>
      </c>
      <c r="L337" t="s">
        <v>16</v>
      </c>
      <c r="M337" t="s">
        <v>35</v>
      </c>
    </row>
    <row r="338" spans="1:13">
      <c r="A338" s="2">
        <v>46103</v>
      </c>
      <c r="B338" t="s">
        <v>13</v>
      </c>
      <c r="C338" t="s">
        <v>13</v>
      </c>
      <c r="D338" t="s">
        <v>14</v>
      </c>
      <c r="E338" s="4">
        <v>3</v>
      </c>
      <c r="F338" s="4">
        <v>0</v>
      </c>
      <c r="G338" s="4">
        <v>80</v>
      </c>
      <c r="H338" s="3">
        <v>6</v>
      </c>
      <c r="I338" s="3">
        <f t="shared" si="10"/>
        <v>18</v>
      </c>
      <c r="J338" s="3">
        <f t="shared" si="11"/>
        <v>98</v>
      </c>
      <c r="K338" t="s">
        <v>15</v>
      </c>
      <c r="L338" t="s">
        <v>16</v>
      </c>
      <c r="M338" t="s">
        <v>17</v>
      </c>
    </row>
    <row r="339" spans="1:13">
      <c r="A339" s="2">
        <v>46103</v>
      </c>
      <c r="B339" t="s">
        <v>13</v>
      </c>
      <c r="C339" t="s">
        <v>13</v>
      </c>
      <c r="D339" t="s">
        <v>18</v>
      </c>
      <c r="E339" s="4">
        <v>4</v>
      </c>
      <c r="F339" s="4">
        <v>1</v>
      </c>
      <c r="G339" s="4">
        <v>90</v>
      </c>
      <c r="H339" s="3">
        <v>6.5</v>
      </c>
      <c r="I339" s="3">
        <f t="shared" si="10"/>
        <v>26</v>
      </c>
      <c r="J339" s="3">
        <f t="shared" si="11"/>
        <v>116</v>
      </c>
      <c r="K339" t="s">
        <v>15</v>
      </c>
      <c r="L339" t="s">
        <v>16</v>
      </c>
      <c r="M339" t="s">
        <v>17</v>
      </c>
    </row>
    <row r="340" spans="1:13">
      <c r="A340" s="2">
        <v>46103</v>
      </c>
      <c r="B340" t="s">
        <v>13</v>
      </c>
      <c r="C340" t="s">
        <v>13</v>
      </c>
      <c r="D340" t="s">
        <v>19</v>
      </c>
      <c r="E340" s="4">
        <v>5</v>
      </c>
      <c r="F340" s="4">
        <v>1</v>
      </c>
      <c r="G340" s="4">
        <v>100</v>
      </c>
      <c r="H340" s="3">
        <v>7</v>
      </c>
      <c r="I340" s="3">
        <f t="shared" si="10"/>
        <v>35</v>
      </c>
      <c r="J340" s="3">
        <f t="shared" si="11"/>
        <v>135</v>
      </c>
      <c r="K340" t="s">
        <v>15</v>
      </c>
      <c r="L340" t="s">
        <v>16</v>
      </c>
      <c r="M340" t="s">
        <v>20</v>
      </c>
    </row>
    <row r="341" spans="1:13">
      <c r="A341" s="2">
        <v>46103</v>
      </c>
      <c r="B341" t="s">
        <v>13</v>
      </c>
      <c r="C341" t="s">
        <v>13</v>
      </c>
      <c r="D341" t="s">
        <v>21</v>
      </c>
      <c r="E341" s="4">
        <v>5</v>
      </c>
      <c r="F341" s="4">
        <v>2</v>
      </c>
      <c r="G341" s="4">
        <v>105</v>
      </c>
      <c r="H341" s="3">
        <v>7</v>
      </c>
      <c r="I341" s="3">
        <f t="shared" si="10"/>
        <v>35</v>
      </c>
      <c r="J341" s="3">
        <f t="shared" si="11"/>
        <v>140</v>
      </c>
      <c r="K341" t="s">
        <v>15</v>
      </c>
      <c r="L341" t="s">
        <v>16</v>
      </c>
      <c r="M341" t="s">
        <v>20</v>
      </c>
    </row>
    <row r="342" spans="1:13">
      <c r="A342" s="2">
        <v>46103</v>
      </c>
      <c r="B342" t="s">
        <v>13</v>
      </c>
      <c r="C342" t="s">
        <v>13</v>
      </c>
      <c r="D342" t="s">
        <v>22</v>
      </c>
      <c r="E342" s="4">
        <v>6</v>
      </c>
      <c r="F342" s="4">
        <v>2</v>
      </c>
      <c r="G342" s="4">
        <v>115</v>
      </c>
      <c r="H342" s="3">
        <v>7</v>
      </c>
      <c r="I342" s="3">
        <f t="shared" si="10"/>
        <v>42</v>
      </c>
      <c r="J342" s="3">
        <f t="shared" si="11"/>
        <v>157</v>
      </c>
      <c r="K342" t="s">
        <v>15</v>
      </c>
      <c r="L342" t="s">
        <v>16</v>
      </c>
      <c r="M342" t="s">
        <v>20</v>
      </c>
    </row>
    <row r="343" spans="1:13">
      <c r="A343" s="2">
        <v>46103</v>
      </c>
      <c r="B343" t="s">
        <v>13</v>
      </c>
      <c r="C343" t="s">
        <v>13</v>
      </c>
      <c r="D343" t="s">
        <v>23</v>
      </c>
      <c r="E343" s="4">
        <v>7</v>
      </c>
      <c r="F343" s="4">
        <v>4</v>
      </c>
      <c r="G343" s="4">
        <v>130</v>
      </c>
      <c r="H343" s="3">
        <v>8</v>
      </c>
      <c r="I343" s="3">
        <f t="shared" si="10"/>
        <v>56</v>
      </c>
      <c r="J343" s="3">
        <f t="shared" si="11"/>
        <v>186</v>
      </c>
      <c r="K343" t="s">
        <v>15</v>
      </c>
      <c r="L343" t="s">
        <v>16</v>
      </c>
      <c r="M343" t="s">
        <v>24</v>
      </c>
    </row>
    <row r="344" spans="1:13">
      <c r="A344" s="2">
        <v>46103</v>
      </c>
      <c r="B344" t="s">
        <v>13</v>
      </c>
      <c r="C344" t="s">
        <v>13</v>
      </c>
      <c r="D344" t="s">
        <v>25</v>
      </c>
      <c r="E344" s="4">
        <v>9</v>
      </c>
      <c r="F344" s="4">
        <v>6</v>
      </c>
      <c r="G344" s="4">
        <v>160</v>
      </c>
      <c r="H344" s="3">
        <v>9</v>
      </c>
      <c r="I344" s="3">
        <f t="shared" si="10"/>
        <v>81</v>
      </c>
      <c r="J344" s="3">
        <f t="shared" si="11"/>
        <v>241</v>
      </c>
      <c r="K344" t="s">
        <v>26</v>
      </c>
      <c r="L344" t="s">
        <v>16</v>
      </c>
      <c r="M344" t="s">
        <v>24</v>
      </c>
    </row>
    <row r="345" spans="1:13">
      <c r="A345" s="2">
        <v>46103</v>
      </c>
      <c r="B345" t="s">
        <v>13</v>
      </c>
      <c r="C345" t="s">
        <v>13</v>
      </c>
      <c r="D345" t="s">
        <v>27</v>
      </c>
      <c r="E345" s="4">
        <v>10</v>
      </c>
      <c r="F345" s="4">
        <v>7</v>
      </c>
      <c r="G345" s="4">
        <v>180</v>
      </c>
      <c r="H345" s="3">
        <v>9.5</v>
      </c>
      <c r="I345" s="3">
        <f t="shared" si="10"/>
        <v>95</v>
      </c>
      <c r="J345" s="3">
        <f t="shared" si="11"/>
        <v>275</v>
      </c>
      <c r="K345" t="s">
        <v>26</v>
      </c>
      <c r="L345" t="s">
        <v>28</v>
      </c>
      <c r="M345" t="s">
        <v>24</v>
      </c>
    </row>
    <row r="346" spans="1:13">
      <c r="A346" s="2">
        <v>46103</v>
      </c>
      <c r="B346" t="s">
        <v>13</v>
      </c>
      <c r="C346" t="s">
        <v>13</v>
      </c>
      <c r="D346" t="s">
        <v>29</v>
      </c>
      <c r="E346" s="4">
        <v>9</v>
      </c>
      <c r="F346" s="4">
        <v>6</v>
      </c>
      <c r="G346" s="4">
        <v>170</v>
      </c>
      <c r="H346" s="3">
        <v>9</v>
      </c>
      <c r="I346" s="3">
        <f t="shared" si="10"/>
        <v>81</v>
      </c>
      <c r="J346" s="3">
        <f t="shared" si="11"/>
        <v>251</v>
      </c>
      <c r="K346" t="s">
        <v>26</v>
      </c>
      <c r="L346" t="s">
        <v>16</v>
      </c>
      <c r="M346" t="s">
        <v>17</v>
      </c>
    </row>
    <row r="347" spans="1:13">
      <c r="A347" s="2">
        <v>46103</v>
      </c>
      <c r="B347" t="s">
        <v>13</v>
      </c>
      <c r="C347" t="s">
        <v>13</v>
      </c>
      <c r="D347" t="s">
        <v>30</v>
      </c>
      <c r="E347" s="4">
        <v>8</v>
      </c>
      <c r="F347" s="4">
        <v>5</v>
      </c>
      <c r="G347" s="4">
        <v>150</v>
      </c>
      <c r="H347" s="3">
        <v>8.5</v>
      </c>
      <c r="I347" s="3">
        <f t="shared" si="10"/>
        <v>68</v>
      </c>
      <c r="J347" s="3">
        <f t="shared" si="11"/>
        <v>218</v>
      </c>
      <c r="K347" t="s">
        <v>15</v>
      </c>
      <c r="L347" t="s">
        <v>16</v>
      </c>
      <c r="M347" t="s">
        <v>17</v>
      </c>
    </row>
    <row r="348" spans="1:13">
      <c r="A348" s="2">
        <v>46103</v>
      </c>
      <c r="B348" t="s">
        <v>13</v>
      </c>
      <c r="C348" t="s">
        <v>13</v>
      </c>
      <c r="D348" t="s">
        <v>31</v>
      </c>
      <c r="E348" s="4">
        <v>7</v>
      </c>
      <c r="F348" s="4">
        <v>4</v>
      </c>
      <c r="G348" s="4">
        <v>135</v>
      </c>
      <c r="H348" s="3">
        <v>8</v>
      </c>
      <c r="I348" s="3">
        <f t="shared" si="10"/>
        <v>56</v>
      </c>
      <c r="J348" s="3">
        <f t="shared" si="11"/>
        <v>191</v>
      </c>
      <c r="K348" t="s">
        <v>15</v>
      </c>
      <c r="L348" t="s">
        <v>16</v>
      </c>
      <c r="M348" t="s">
        <v>17</v>
      </c>
    </row>
    <row r="349" spans="1:13">
      <c r="A349" s="2">
        <v>46103</v>
      </c>
      <c r="B349" t="s">
        <v>13</v>
      </c>
      <c r="C349" t="s">
        <v>13</v>
      </c>
      <c r="D349" t="s">
        <v>32</v>
      </c>
      <c r="E349" s="4">
        <v>6</v>
      </c>
      <c r="F349" s="4">
        <v>3</v>
      </c>
      <c r="G349" s="4">
        <v>120</v>
      </c>
      <c r="H349" s="3">
        <v>8</v>
      </c>
      <c r="I349" s="3">
        <f t="shared" si="10"/>
        <v>48</v>
      </c>
      <c r="J349" s="3">
        <f t="shared" si="11"/>
        <v>168</v>
      </c>
      <c r="K349" t="s">
        <v>15</v>
      </c>
      <c r="L349" t="s">
        <v>16</v>
      </c>
      <c r="M349" t="s">
        <v>20</v>
      </c>
    </row>
    <row r="350" spans="1:13">
      <c r="A350" s="2">
        <v>46103</v>
      </c>
      <c r="B350" t="s">
        <v>13</v>
      </c>
      <c r="C350" t="s">
        <v>13</v>
      </c>
      <c r="D350" t="s">
        <v>33</v>
      </c>
      <c r="E350" s="4">
        <v>6</v>
      </c>
      <c r="F350" s="4">
        <v>3</v>
      </c>
      <c r="G350" s="4">
        <v>115</v>
      </c>
      <c r="H350" s="3">
        <v>8</v>
      </c>
      <c r="I350" s="3">
        <f t="shared" si="10"/>
        <v>48</v>
      </c>
      <c r="J350" s="3">
        <f t="shared" si="11"/>
        <v>163</v>
      </c>
      <c r="K350" t="s">
        <v>15</v>
      </c>
      <c r="L350" t="s">
        <v>16</v>
      </c>
      <c r="M350" t="s">
        <v>20</v>
      </c>
    </row>
    <row r="351" spans="1:13">
      <c r="A351" s="2">
        <v>46103</v>
      </c>
      <c r="B351" t="s">
        <v>13</v>
      </c>
      <c r="C351" t="s">
        <v>13</v>
      </c>
      <c r="D351" t="s">
        <v>34</v>
      </c>
      <c r="E351" s="4">
        <v>5</v>
      </c>
      <c r="F351" s="4">
        <v>2</v>
      </c>
      <c r="G351" s="4">
        <v>100</v>
      </c>
      <c r="H351" s="3">
        <v>7.5</v>
      </c>
      <c r="I351" s="3">
        <f t="shared" si="10"/>
        <v>37.5</v>
      </c>
      <c r="J351" s="3">
        <f t="shared" si="11"/>
        <v>137.5</v>
      </c>
      <c r="K351" t="s">
        <v>15</v>
      </c>
      <c r="L351" t="s">
        <v>16</v>
      </c>
      <c r="M351" t="s">
        <v>35</v>
      </c>
    </row>
    <row r="352" spans="1:13">
      <c r="A352" s="2">
        <v>46103</v>
      </c>
      <c r="B352" t="s">
        <v>13</v>
      </c>
      <c r="C352" t="s">
        <v>13</v>
      </c>
      <c r="D352" t="s">
        <v>36</v>
      </c>
      <c r="E352" s="4">
        <v>4</v>
      </c>
      <c r="F352" s="4">
        <v>1</v>
      </c>
      <c r="G352" s="4">
        <v>85</v>
      </c>
      <c r="H352" s="3">
        <v>7</v>
      </c>
      <c r="I352" s="3">
        <f t="shared" si="10"/>
        <v>28</v>
      </c>
      <c r="J352" s="3">
        <f t="shared" si="11"/>
        <v>113</v>
      </c>
      <c r="K352" t="s">
        <v>15</v>
      </c>
      <c r="L352" t="s">
        <v>16</v>
      </c>
      <c r="M352" t="s">
        <v>35</v>
      </c>
    </row>
    <row r="353" spans="1:13">
      <c r="A353" s="2">
        <v>46103</v>
      </c>
      <c r="B353" t="s">
        <v>13</v>
      </c>
      <c r="C353" t="s">
        <v>13</v>
      </c>
      <c r="D353" t="s">
        <v>37</v>
      </c>
      <c r="E353" s="4">
        <v>3</v>
      </c>
      <c r="F353" s="4">
        <v>1</v>
      </c>
      <c r="G353" s="4">
        <v>70</v>
      </c>
      <c r="H353" s="3">
        <v>7</v>
      </c>
      <c r="I353" s="3">
        <f t="shared" si="10"/>
        <v>21</v>
      </c>
      <c r="J353" s="3">
        <f t="shared" si="11"/>
        <v>91</v>
      </c>
      <c r="K353" t="s">
        <v>15</v>
      </c>
      <c r="L353" t="s">
        <v>16</v>
      </c>
      <c r="M353" t="s">
        <v>35</v>
      </c>
    </row>
    <row r="354" spans="1:13">
      <c r="A354" s="2">
        <v>46104</v>
      </c>
      <c r="B354" t="s">
        <v>38</v>
      </c>
      <c r="C354" t="s">
        <v>39</v>
      </c>
      <c r="D354" t="s">
        <v>14</v>
      </c>
      <c r="E354" s="4">
        <v>8</v>
      </c>
      <c r="F354" s="4">
        <v>2</v>
      </c>
      <c r="G354" s="4">
        <v>180</v>
      </c>
      <c r="H354" s="3">
        <v>6</v>
      </c>
      <c r="I354" s="3">
        <f t="shared" si="10"/>
        <v>48</v>
      </c>
      <c r="J354" s="3">
        <f t="shared" si="11"/>
        <v>228</v>
      </c>
      <c r="K354" t="s">
        <v>15</v>
      </c>
      <c r="L354" t="s">
        <v>16</v>
      </c>
      <c r="M354" t="s">
        <v>17</v>
      </c>
    </row>
    <row r="355" spans="1:13">
      <c r="A355" s="2">
        <v>46104</v>
      </c>
      <c r="B355" t="s">
        <v>38</v>
      </c>
      <c r="C355" t="s">
        <v>39</v>
      </c>
      <c r="D355" t="s">
        <v>18</v>
      </c>
      <c r="E355" s="4">
        <v>12</v>
      </c>
      <c r="F355" s="4">
        <v>3</v>
      </c>
      <c r="G355" s="4">
        <v>260</v>
      </c>
      <c r="H355" s="3">
        <v>6.5</v>
      </c>
      <c r="I355" s="3">
        <f t="shared" si="10"/>
        <v>78</v>
      </c>
      <c r="J355" s="3">
        <f t="shared" si="11"/>
        <v>338</v>
      </c>
      <c r="K355" t="s">
        <v>15</v>
      </c>
      <c r="L355" t="s">
        <v>16</v>
      </c>
      <c r="M355" t="s">
        <v>17</v>
      </c>
    </row>
    <row r="356" spans="1:13">
      <c r="A356" s="2">
        <v>46104</v>
      </c>
      <c r="B356" t="s">
        <v>38</v>
      </c>
      <c r="C356" t="s">
        <v>39</v>
      </c>
      <c r="D356" t="s">
        <v>19</v>
      </c>
      <c r="E356" s="4">
        <v>15</v>
      </c>
      <c r="F356" s="4">
        <v>4</v>
      </c>
      <c r="G356" s="4">
        <v>310</v>
      </c>
      <c r="H356" s="3">
        <v>7</v>
      </c>
      <c r="I356" s="3">
        <f t="shared" si="10"/>
        <v>105</v>
      </c>
      <c r="J356" s="3">
        <f t="shared" si="11"/>
        <v>415</v>
      </c>
      <c r="K356" t="s">
        <v>15</v>
      </c>
      <c r="L356" t="s">
        <v>16</v>
      </c>
      <c r="M356" t="s">
        <v>17</v>
      </c>
    </row>
    <row r="357" spans="1:13">
      <c r="A357" s="2">
        <v>46104</v>
      </c>
      <c r="B357" t="s">
        <v>38</v>
      </c>
      <c r="C357" t="s">
        <v>39</v>
      </c>
      <c r="D357" t="s">
        <v>21</v>
      </c>
      <c r="E357" s="4">
        <v>10</v>
      </c>
      <c r="F357" s="4">
        <v>3</v>
      </c>
      <c r="G357" s="4">
        <v>220</v>
      </c>
      <c r="H357" s="3">
        <v>7</v>
      </c>
      <c r="I357" s="3">
        <f t="shared" si="10"/>
        <v>70</v>
      </c>
      <c r="J357" s="3">
        <f t="shared" si="11"/>
        <v>290</v>
      </c>
      <c r="K357" t="s">
        <v>15</v>
      </c>
      <c r="L357" t="s">
        <v>16</v>
      </c>
      <c r="M357" t="s">
        <v>20</v>
      </c>
    </row>
    <row r="358" spans="1:13">
      <c r="A358" s="2">
        <v>46104</v>
      </c>
      <c r="B358" t="s">
        <v>38</v>
      </c>
      <c r="C358" t="s">
        <v>39</v>
      </c>
      <c r="D358" t="s">
        <v>22</v>
      </c>
      <c r="E358" s="4">
        <v>9</v>
      </c>
      <c r="F358" s="4">
        <v>4</v>
      </c>
      <c r="G358" s="4">
        <v>200</v>
      </c>
      <c r="H358" s="3">
        <v>7</v>
      </c>
      <c r="I358" s="3">
        <f t="shared" si="10"/>
        <v>63</v>
      </c>
      <c r="J358" s="3">
        <f t="shared" si="11"/>
        <v>263</v>
      </c>
      <c r="K358" t="s">
        <v>15</v>
      </c>
      <c r="L358" t="s">
        <v>16</v>
      </c>
      <c r="M358" t="s">
        <v>20</v>
      </c>
    </row>
    <row r="359" spans="1:13">
      <c r="A359" s="2">
        <v>46104</v>
      </c>
      <c r="B359" t="s">
        <v>38</v>
      </c>
      <c r="C359" t="s">
        <v>39</v>
      </c>
      <c r="D359" t="s">
        <v>23</v>
      </c>
      <c r="E359" s="4">
        <v>12</v>
      </c>
      <c r="F359" s="4">
        <v>7</v>
      </c>
      <c r="G359" s="4">
        <v>240</v>
      </c>
      <c r="H359" s="3">
        <v>8</v>
      </c>
      <c r="I359" s="3">
        <f t="shared" si="10"/>
        <v>96</v>
      </c>
      <c r="J359" s="3">
        <f t="shared" si="11"/>
        <v>336</v>
      </c>
      <c r="K359" t="s">
        <v>26</v>
      </c>
      <c r="L359" t="s">
        <v>16</v>
      </c>
      <c r="M359" t="s">
        <v>24</v>
      </c>
    </row>
    <row r="360" spans="1:13">
      <c r="A360" s="2">
        <v>46104</v>
      </c>
      <c r="B360" t="s">
        <v>38</v>
      </c>
      <c r="C360" t="s">
        <v>39</v>
      </c>
      <c r="D360" t="s">
        <v>25</v>
      </c>
      <c r="E360" s="4">
        <v>16</v>
      </c>
      <c r="F360" s="4">
        <v>10</v>
      </c>
      <c r="G360" s="4">
        <v>300</v>
      </c>
      <c r="H360" s="3">
        <v>9</v>
      </c>
      <c r="I360" s="3">
        <f t="shared" si="10"/>
        <v>144</v>
      </c>
      <c r="J360" s="3">
        <f t="shared" si="11"/>
        <v>444</v>
      </c>
      <c r="K360" t="s">
        <v>26</v>
      </c>
      <c r="L360" t="s">
        <v>16</v>
      </c>
      <c r="M360" t="s">
        <v>24</v>
      </c>
    </row>
    <row r="361" spans="1:13">
      <c r="A361" s="2">
        <v>46104</v>
      </c>
      <c r="B361" t="s">
        <v>38</v>
      </c>
      <c r="C361" t="s">
        <v>39</v>
      </c>
      <c r="D361" t="s">
        <v>27</v>
      </c>
      <c r="E361" s="4">
        <v>14</v>
      </c>
      <c r="F361" s="4">
        <v>9</v>
      </c>
      <c r="G361" s="4">
        <v>280</v>
      </c>
      <c r="H361" s="3">
        <v>8.5</v>
      </c>
      <c r="I361" s="3">
        <f t="shared" si="10"/>
        <v>119</v>
      </c>
      <c r="J361" s="3">
        <f t="shared" si="11"/>
        <v>399</v>
      </c>
      <c r="K361" t="s">
        <v>26</v>
      </c>
      <c r="L361" t="s">
        <v>16</v>
      </c>
      <c r="M361" t="s">
        <v>24</v>
      </c>
    </row>
    <row r="362" spans="1:13">
      <c r="A362" s="2">
        <v>46104</v>
      </c>
      <c r="B362" t="s">
        <v>38</v>
      </c>
      <c r="C362" t="s">
        <v>39</v>
      </c>
      <c r="D362" t="s">
        <v>29</v>
      </c>
      <c r="E362" s="4">
        <v>11</v>
      </c>
      <c r="F362" s="4">
        <v>7</v>
      </c>
      <c r="G362" s="4">
        <v>230</v>
      </c>
      <c r="H362" s="3">
        <v>7.5</v>
      </c>
      <c r="I362" s="3">
        <f t="shared" si="10"/>
        <v>82.5</v>
      </c>
      <c r="J362" s="3">
        <f t="shared" si="11"/>
        <v>312.5</v>
      </c>
      <c r="K362" t="s">
        <v>15</v>
      </c>
      <c r="L362" t="s">
        <v>16</v>
      </c>
      <c r="M362" t="s">
        <v>20</v>
      </c>
    </row>
    <row r="363" spans="1:13">
      <c r="A363" s="2">
        <v>46104</v>
      </c>
      <c r="B363" t="s">
        <v>38</v>
      </c>
      <c r="C363" t="s">
        <v>39</v>
      </c>
      <c r="D363" t="s">
        <v>30</v>
      </c>
      <c r="E363" s="4">
        <v>13</v>
      </c>
      <c r="F363" s="4">
        <v>8</v>
      </c>
      <c r="G363" s="4">
        <v>250</v>
      </c>
      <c r="H363" s="3">
        <v>8</v>
      </c>
      <c r="I363" s="3">
        <f t="shared" si="10"/>
        <v>104</v>
      </c>
      <c r="J363" s="3">
        <f t="shared" si="11"/>
        <v>354</v>
      </c>
      <c r="K363" t="s">
        <v>26</v>
      </c>
      <c r="L363" t="s">
        <v>16</v>
      </c>
      <c r="M363" t="s">
        <v>17</v>
      </c>
    </row>
    <row r="364" spans="1:13">
      <c r="A364" s="2">
        <v>46104</v>
      </c>
      <c r="B364" t="s">
        <v>38</v>
      </c>
      <c r="C364" t="s">
        <v>39</v>
      </c>
      <c r="D364" t="s">
        <v>31</v>
      </c>
      <c r="E364" s="4">
        <v>18</v>
      </c>
      <c r="F364" s="4">
        <v>11</v>
      </c>
      <c r="G364" s="4">
        <v>340</v>
      </c>
      <c r="H364" s="3">
        <v>9</v>
      </c>
      <c r="I364" s="3">
        <f t="shared" si="10"/>
        <v>162</v>
      </c>
      <c r="J364" s="3">
        <f t="shared" si="11"/>
        <v>502</v>
      </c>
      <c r="K364" t="s">
        <v>26</v>
      </c>
      <c r="L364" t="s">
        <v>16</v>
      </c>
      <c r="M364" t="s">
        <v>17</v>
      </c>
    </row>
    <row r="365" spans="1:13">
      <c r="A365" s="2">
        <v>46104</v>
      </c>
      <c r="B365" t="s">
        <v>38</v>
      </c>
      <c r="C365" t="s">
        <v>39</v>
      </c>
      <c r="D365" t="s">
        <v>32</v>
      </c>
      <c r="E365" s="4">
        <v>24</v>
      </c>
      <c r="F365" s="4">
        <v>14</v>
      </c>
      <c r="G365" s="4">
        <v>420</v>
      </c>
      <c r="H365" s="3">
        <v>10</v>
      </c>
      <c r="I365" s="3">
        <f t="shared" si="10"/>
        <v>240</v>
      </c>
      <c r="J365" s="3">
        <f t="shared" si="11"/>
        <v>660</v>
      </c>
      <c r="K365" t="s">
        <v>40</v>
      </c>
      <c r="L365" t="s">
        <v>28</v>
      </c>
      <c r="M365" t="s">
        <v>24</v>
      </c>
    </row>
    <row r="366" spans="1:13">
      <c r="A366" s="2">
        <v>46104</v>
      </c>
      <c r="B366" t="s">
        <v>38</v>
      </c>
      <c r="C366" t="s">
        <v>39</v>
      </c>
      <c r="D366" t="s">
        <v>33</v>
      </c>
      <c r="E366" s="4">
        <v>20</v>
      </c>
      <c r="F366" s="4">
        <v>12</v>
      </c>
      <c r="G366" s="4">
        <v>360</v>
      </c>
      <c r="H366" s="3">
        <v>9.5</v>
      </c>
      <c r="I366" s="3">
        <f t="shared" si="10"/>
        <v>190</v>
      </c>
      <c r="J366" s="3">
        <f t="shared" si="11"/>
        <v>550</v>
      </c>
      <c r="K366" t="s">
        <v>40</v>
      </c>
      <c r="L366" t="s">
        <v>28</v>
      </c>
      <c r="M366" t="s">
        <v>24</v>
      </c>
    </row>
    <row r="367" spans="1:13">
      <c r="A367" s="2">
        <v>46104</v>
      </c>
      <c r="B367" t="s">
        <v>38</v>
      </c>
      <c r="C367" t="s">
        <v>39</v>
      </c>
      <c r="D367" t="s">
        <v>34</v>
      </c>
      <c r="E367" s="4">
        <v>15</v>
      </c>
      <c r="F367" s="4">
        <v>8</v>
      </c>
      <c r="G367" s="4">
        <v>280</v>
      </c>
      <c r="H367" s="3">
        <v>8.5</v>
      </c>
      <c r="I367" s="3">
        <f t="shared" si="10"/>
        <v>127.5</v>
      </c>
      <c r="J367" s="3">
        <f t="shared" si="11"/>
        <v>407.5</v>
      </c>
      <c r="K367" t="s">
        <v>26</v>
      </c>
      <c r="L367" t="s">
        <v>16</v>
      </c>
      <c r="M367" t="s">
        <v>20</v>
      </c>
    </row>
    <row r="368" spans="1:13">
      <c r="A368" s="2">
        <v>46104</v>
      </c>
      <c r="B368" t="s">
        <v>38</v>
      </c>
      <c r="C368" t="s">
        <v>39</v>
      </c>
      <c r="D368" t="s">
        <v>36</v>
      </c>
      <c r="E368" s="4">
        <v>11</v>
      </c>
      <c r="F368" s="4">
        <v>5</v>
      </c>
      <c r="G368" s="4">
        <v>210</v>
      </c>
      <c r="H368" s="3">
        <v>7.5</v>
      </c>
      <c r="I368" s="3">
        <f t="shared" si="10"/>
        <v>82.5</v>
      </c>
      <c r="J368" s="3">
        <f t="shared" si="11"/>
        <v>292.5</v>
      </c>
      <c r="K368" t="s">
        <v>15</v>
      </c>
      <c r="L368" t="s">
        <v>16</v>
      </c>
      <c r="M368" t="s">
        <v>35</v>
      </c>
    </row>
    <row r="369" spans="1:13">
      <c r="A369" s="2">
        <v>46104</v>
      </c>
      <c r="B369" t="s">
        <v>38</v>
      </c>
      <c r="C369" t="s">
        <v>39</v>
      </c>
      <c r="D369" t="s">
        <v>37</v>
      </c>
      <c r="E369" s="4">
        <v>7</v>
      </c>
      <c r="F369" s="4">
        <v>3</v>
      </c>
      <c r="G369" s="4">
        <v>150</v>
      </c>
      <c r="H369" s="3">
        <v>7</v>
      </c>
      <c r="I369" s="3">
        <f t="shared" si="10"/>
        <v>49</v>
      </c>
      <c r="J369" s="3">
        <f t="shared" si="11"/>
        <v>199</v>
      </c>
      <c r="K369" t="s">
        <v>15</v>
      </c>
      <c r="L369" t="s">
        <v>16</v>
      </c>
      <c r="M369" t="s">
        <v>35</v>
      </c>
    </row>
    <row r="370" spans="1:13">
      <c r="A370" s="2">
        <v>46105</v>
      </c>
      <c r="B370" t="s">
        <v>41</v>
      </c>
      <c r="C370" t="s">
        <v>39</v>
      </c>
      <c r="D370" t="s">
        <v>14</v>
      </c>
      <c r="E370" s="4">
        <v>8</v>
      </c>
      <c r="F370" s="4">
        <v>2</v>
      </c>
      <c r="G370" s="4">
        <v>180</v>
      </c>
      <c r="H370" s="3">
        <v>6</v>
      </c>
      <c r="I370" s="3">
        <f t="shared" si="10"/>
        <v>48</v>
      </c>
      <c r="J370" s="3">
        <f t="shared" si="11"/>
        <v>228</v>
      </c>
      <c r="K370" t="s">
        <v>15</v>
      </c>
      <c r="L370" t="s">
        <v>16</v>
      </c>
      <c r="M370" t="s">
        <v>17</v>
      </c>
    </row>
    <row r="371" spans="1:13">
      <c r="A371" s="2">
        <v>46105</v>
      </c>
      <c r="B371" t="s">
        <v>41</v>
      </c>
      <c r="C371" t="s">
        <v>39</v>
      </c>
      <c r="D371" t="s">
        <v>18</v>
      </c>
      <c r="E371" s="4">
        <v>12</v>
      </c>
      <c r="F371" s="4">
        <v>3</v>
      </c>
      <c r="G371" s="4">
        <v>260</v>
      </c>
      <c r="H371" s="3">
        <v>6.5</v>
      </c>
      <c r="I371" s="3">
        <f t="shared" si="10"/>
        <v>78</v>
      </c>
      <c r="J371" s="3">
        <f t="shared" si="11"/>
        <v>338</v>
      </c>
      <c r="K371" t="s">
        <v>15</v>
      </c>
      <c r="L371" t="s">
        <v>16</v>
      </c>
      <c r="M371" t="s">
        <v>17</v>
      </c>
    </row>
    <row r="372" spans="1:13">
      <c r="A372" s="2">
        <v>46105</v>
      </c>
      <c r="B372" t="s">
        <v>41</v>
      </c>
      <c r="C372" t="s">
        <v>39</v>
      </c>
      <c r="D372" t="s">
        <v>19</v>
      </c>
      <c r="E372" s="4">
        <v>15</v>
      </c>
      <c r="F372" s="4">
        <v>4</v>
      </c>
      <c r="G372" s="4">
        <v>310</v>
      </c>
      <c r="H372" s="3">
        <v>7</v>
      </c>
      <c r="I372" s="3">
        <f t="shared" si="10"/>
        <v>105</v>
      </c>
      <c r="J372" s="3">
        <f t="shared" si="11"/>
        <v>415</v>
      </c>
      <c r="K372" t="s">
        <v>15</v>
      </c>
      <c r="L372" t="s">
        <v>16</v>
      </c>
      <c r="M372" t="s">
        <v>17</v>
      </c>
    </row>
    <row r="373" spans="1:13">
      <c r="A373" s="2">
        <v>46105</v>
      </c>
      <c r="B373" t="s">
        <v>41</v>
      </c>
      <c r="C373" t="s">
        <v>39</v>
      </c>
      <c r="D373" t="s">
        <v>21</v>
      </c>
      <c r="E373" s="4">
        <v>10</v>
      </c>
      <c r="F373" s="4">
        <v>3</v>
      </c>
      <c r="G373" s="4">
        <v>220</v>
      </c>
      <c r="H373" s="3">
        <v>7</v>
      </c>
      <c r="I373" s="3">
        <f t="shared" si="10"/>
        <v>70</v>
      </c>
      <c r="J373" s="3">
        <f t="shared" si="11"/>
        <v>290</v>
      </c>
      <c r="K373" t="s">
        <v>15</v>
      </c>
      <c r="L373" t="s">
        <v>16</v>
      </c>
      <c r="M373" t="s">
        <v>20</v>
      </c>
    </row>
    <row r="374" spans="1:13">
      <c r="A374" s="2">
        <v>46105</v>
      </c>
      <c r="B374" t="s">
        <v>41</v>
      </c>
      <c r="C374" t="s">
        <v>39</v>
      </c>
      <c r="D374" t="s">
        <v>22</v>
      </c>
      <c r="E374" s="4">
        <v>9</v>
      </c>
      <c r="F374" s="4">
        <v>4</v>
      </c>
      <c r="G374" s="4">
        <v>200</v>
      </c>
      <c r="H374" s="3">
        <v>7</v>
      </c>
      <c r="I374" s="3">
        <f t="shared" si="10"/>
        <v>63</v>
      </c>
      <c r="J374" s="3">
        <f t="shared" si="11"/>
        <v>263</v>
      </c>
      <c r="K374" t="s">
        <v>15</v>
      </c>
      <c r="L374" t="s">
        <v>16</v>
      </c>
      <c r="M374" t="s">
        <v>20</v>
      </c>
    </row>
    <row r="375" spans="1:13">
      <c r="A375" s="2">
        <v>46105</v>
      </c>
      <c r="B375" t="s">
        <v>41</v>
      </c>
      <c r="C375" t="s">
        <v>39</v>
      </c>
      <c r="D375" t="s">
        <v>23</v>
      </c>
      <c r="E375" s="4">
        <v>12</v>
      </c>
      <c r="F375" s="4">
        <v>7</v>
      </c>
      <c r="G375" s="4">
        <v>240</v>
      </c>
      <c r="H375" s="3">
        <v>8</v>
      </c>
      <c r="I375" s="3">
        <f t="shared" si="10"/>
        <v>96</v>
      </c>
      <c r="J375" s="3">
        <f t="shared" si="11"/>
        <v>336</v>
      </c>
      <c r="K375" t="s">
        <v>26</v>
      </c>
      <c r="L375" t="s">
        <v>16</v>
      </c>
      <c r="M375" t="s">
        <v>24</v>
      </c>
    </row>
    <row r="376" spans="1:13">
      <c r="A376" s="2">
        <v>46105</v>
      </c>
      <c r="B376" t="s">
        <v>41</v>
      </c>
      <c r="C376" t="s">
        <v>39</v>
      </c>
      <c r="D376" t="s">
        <v>25</v>
      </c>
      <c r="E376" s="4">
        <v>16</v>
      </c>
      <c r="F376" s="4">
        <v>10</v>
      </c>
      <c r="G376" s="4">
        <v>300</v>
      </c>
      <c r="H376" s="3">
        <v>9</v>
      </c>
      <c r="I376" s="3">
        <f t="shared" si="10"/>
        <v>144</v>
      </c>
      <c r="J376" s="3">
        <f t="shared" si="11"/>
        <v>444</v>
      </c>
      <c r="K376" t="s">
        <v>26</v>
      </c>
      <c r="L376" t="s">
        <v>16</v>
      </c>
      <c r="M376" t="s">
        <v>24</v>
      </c>
    </row>
    <row r="377" spans="1:13">
      <c r="A377" s="2">
        <v>46105</v>
      </c>
      <c r="B377" t="s">
        <v>41</v>
      </c>
      <c r="C377" t="s">
        <v>39</v>
      </c>
      <c r="D377" t="s">
        <v>27</v>
      </c>
      <c r="E377" s="4">
        <v>14</v>
      </c>
      <c r="F377" s="4">
        <v>9</v>
      </c>
      <c r="G377" s="4">
        <v>280</v>
      </c>
      <c r="H377" s="3">
        <v>8.5</v>
      </c>
      <c r="I377" s="3">
        <f t="shared" si="10"/>
        <v>119</v>
      </c>
      <c r="J377" s="3">
        <f t="shared" si="11"/>
        <v>399</v>
      </c>
      <c r="K377" t="s">
        <v>26</v>
      </c>
      <c r="L377" t="s">
        <v>16</v>
      </c>
      <c r="M377" t="s">
        <v>24</v>
      </c>
    </row>
    <row r="378" spans="1:13">
      <c r="A378" s="2">
        <v>46105</v>
      </c>
      <c r="B378" t="s">
        <v>41</v>
      </c>
      <c r="C378" t="s">
        <v>39</v>
      </c>
      <c r="D378" t="s">
        <v>29</v>
      </c>
      <c r="E378" s="4">
        <v>11</v>
      </c>
      <c r="F378" s="4">
        <v>7</v>
      </c>
      <c r="G378" s="4">
        <v>230</v>
      </c>
      <c r="H378" s="3">
        <v>7.5</v>
      </c>
      <c r="I378" s="3">
        <f t="shared" si="10"/>
        <v>82.5</v>
      </c>
      <c r="J378" s="3">
        <f t="shared" si="11"/>
        <v>312.5</v>
      </c>
      <c r="K378" t="s">
        <v>15</v>
      </c>
      <c r="L378" t="s">
        <v>16</v>
      </c>
      <c r="M378" t="s">
        <v>20</v>
      </c>
    </row>
    <row r="379" spans="1:13">
      <c r="A379" s="2">
        <v>46105</v>
      </c>
      <c r="B379" t="s">
        <v>41</v>
      </c>
      <c r="C379" t="s">
        <v>39</v>
      </c>
      <c r="D379" t="s">
        <v>30</v>
      </c>
      <c r="E379" s="4">
        <v>13</v>
      </c>
      <c r="F379" s="4">
        <v>8</v>
      </c>
      <c r="G379" s="4">
        <v>250</v>
      </c>
      <c r="H379" s="3">
        <v>8</v>
      </c>
      <c r="I379" s="3">
        <f t="shared" si="10"/>
        <v>104</v>
      </c>
      <c r="J379" s="3">
        <f t="shared" si="11"/>
        <v>354</v>
      </c>
      <c r="K379" t="s">
        <v>26</v>
      </c>
      <c r="L379" t="s">
        <v>16</v>
      </c>
      <c r="M379" t="s">
        <v>17</v>
      </c>
    </row>
    <row r="380" spans="1:13">
      <c r="A380" s="2">
        <v>46105</v>
      </c>
      <c r="B380" t="s">
        <v>41</v>
      </c>
      <c r="C380" t="s">
        <v>39</v>
      </c>
      <c r="D380" t="s">
        <v>31</v>
      </c>
      <c r="E380" s="4">
        <v>18</v>
      </c>
      <c r="F380" s="4">
        <v>11</v>
      </c>
      <c r="G380" s="4">
        <v>340</v>
      </c>
      <c r="H380" s="3">
        <v>9</v>
      </c>
      <c r="I380" s="3">
        <f t="shared" si="10"/>
        <v>162</v>
      </c>
      <c r="J380" s="3">
        <f t="shared" si="11"/>
        <v>502</v>
      </c>
      <c r="K380" t="s">
        <v>26</v>
      </c>
      <c r="L380" t="s">
        <v>16</v>
      </c>
      <c r="M380" t="s">
        <v>17</v>
      </c>
    </row>
    <row r="381" spans="1:13">
      <c r="A381" s="2">
        <v>46105</v>
      </c>
      <c r="B381" t="s">
        <v>41</v>
      </c>
      <c r="C381" t="s">
        <v>39</v>
      </c>
      <c r="D381" t="s">
        <v>32</v>
      </c>
      <c r="E381" s="4">
        <v>24</v>
      </c>
      <c r="F381" s="4">
        <v>14</v>
      </c>
      <c r="G381" s="4">
        <v>420</v>
      </c>
      <c r="H381" s="3">
        <v>10</v>
      </c>
      <c r="I381" s="3">
        <f t="shared" si="10"/>
        <v>240</v>
      </c>
      <c r="J381" s="3">
        <f t="shared" si="11"/>
        <v>660</v>
      </c>
      <c r="K381" t="s">
        <v>40</v>
      </c>
      <c r="L381" t="s">
        <v>28</v>
      </c>
      <c r="M381" t="s">
        <v>24</v>
      </c>
    </row>
    <row r="382" spans="1:13">
      <c r="A382" s="2">
        <v>46105</v>
      </c>
      <c r="B382" t="s">
        <v>41</v>
      </c>
      <c r="C382" t="s">
        <v>39</v>
      </c>
      <c r="D382" t="s">
        <v>33</v>
      </c>
      <c r="E382" s="4">
        <v>20</v>
      </c>
      <c r="F382" s="4">
        <v>12</v>
      </c>
      <c r="G382" s="4">
        <v>360</v>
      </c>
      <c r="H382" s="3">
        <v>9.5</v>
      </c>
      <c r="I382" s="3">
        <f t="shared" si="10"/>
        <v>190</v>
      </c>
      <c r="J382" s="3">
        <f t="shared" si="11"/>
        <v>550</v>
      </c>
      <c r="K382" t="s">
        <v>40</v>
      </c>
      <c r="L382" t="s">
        <v>28</v>
      </c>
      <c r="M382" t="s">
        <v>24</v>
      </c>
    </row>
    <row r="383" spans="1:13">
      <c r="A383" s="2">
        <v>46105</v>
      </c>
      <c r="B383" t="s">
        <v>41</v>
      </c>
      <c r="C383" t="s">
        <v>39</v>
      </c>
      <c r="D383" t="s">
        <v>34</v>
      </c>
      <c r="E383" s="4">
        <v>15</v>
      </c>
      <c r="F383" s="4">
        <v>8</v>
      </c>
      <c r="G383" s="4">
        <v>280</v>
      </c>
      <c r="H383" s="3">
        <v>8.5</v>
      </c>
      <c r="I383" s="3">
        <f t="shared" si="10"/>
        <v>127.5</v>
      </c>
      <c r="J383" s="3">
        <f t="shared" si="11"/>
        <v>407.5</v>
      </c>
      <c r="K383" t="s">
        <v>26</v>
      </c>
      <c r="L383" t="s">
        <v>16</v>
      </c>
      <c r="M383" t="s">
        <v>20</v>
      </c>
    </row>
    <row r="384" spans="1:13">
      <c r="A384" s="2">
        <v>46105</v>
      </c>
      <c r="B384" t="s">
        <v>41</v>
      </c>
      <c r="C384" t="s">
        <v>39</v>
      </c>
      <c r="D384" t="s">
        <v>36</v>
      </c>
      <c r="E384" s="4">
        <v>11</v>
      </c>
      <c r="F384" s="4">
        <v>5</v>
      </c>
      <c r="G384" s="4">
        <v>210</v>
      </c>
      <c r="H384" s="3">
        <v>7.5</v>
      </c>
      <c r="I384" s="3">
        <f t="shared" si="10"/>
        <v>82.5</v>
      </c>
      <c r="J384" s="3">
        <f t="shared" si="11"/>
        <v>292.5</v>
      </c>
      <c r="K384" t="s">
        <v>15</v>
      </c>
      <c r="L384" t="s">
        <v>16</v>
      </c>
      <c r="M384" t="s">
        <v>35</v>
      </c>
    </row>
    <row r="385" spans="1:13">
      <c r="A385" s="2">
        <v>46105</v>
      </c>
      <c r="B385" t="s">
        <v>41</v>
      </c>
      <c r="C385" t="s">
        <v>39</v>
      </c>
      <c r="D385" t="s">
        <v>37</v>
      </c>
      <c r="E385" s="4">
        <v>7</v>
      </c>
      <c r="F385" s="4">
        <v>3</v>
      </c>
      <c r="G385" s="4">
        <v>150</v>
      </c>
      <c r="H385" s="3">
        <v>7</v>
      </c>
      <c r="I385" s="3">
        <f t="shared" si="10"/>
        <v>49</v>
      </c>
      <c r="J385" s="3">
        <f t="shared" si="11"/>
        <v>199</v>
      </c>
      <c r="K385" t="s">
        <v>15</v>
      </c>
      <c r="L385" t="s">
        <v>16</v>
      </c>
      <c r="M385" t="s">
        <v>35</v>
      </c>
    </row>
    <row r="386" spans="1:13">
      <c r="A386" s="2">
        <v>46106</v>
      </c>
      <c r="B386" t="s">
        <v>42</v>
      </c>
      <c r="C386" t="s">
        <v>39</v>
      </c>
      <c r="D386" t="s">
        <v>14</v>
      </c>
      <c r="E386" s="4">
        <v>8</v>
      </c>
      <c r="F386" s="4">
        <v>2</v>
      </c>
      <c r="G386" s="4">
        <v>180</v>
      </c>
      <c r="H386" s="3">
        <v>6</v>
      </c>
      <c r="I386" s="3">
        <f t="shared" ref="I386:I449" si="12">E386*H386</f>
        <v>48</v>
      </c>
      <c r="J386" s="3">
        <f t="shared" ref="J386:J449" si="13">G386+I386</f>
        <v>228</v>
      </c>
      <c r="K386" t="s">
        <v>15</v>
      </c>
      <c r="L386" t="s">
        <v>16</v>
      </c>
      <c r="M386" t="s">
        <v>17</v>
      </c>
    </row>
    <row r="387" spans="1:13">
      <c r="A387" s="2">
        <v>46106</v>
      </c>
      <c r="B387" t="s">
        <v>42</v>
      </c>
      <c r="C387" t="s">
        <v>39</v>
      </c>
      <c r="D387" t="s">
        <v>18</v>
      </c>
      <c r="E387" s="4">
        <v>12</v>
      </c>
      <c r="F387" s="4">
        <v>3</v>
      </c>
      <c r="G387" s="4">
        <v>260</v>
      </c>
      <c r="H387" s="3">
        <v>6.5</v>
      </c>
      <c r="I387" s="3">
        <f t="shared" si="12"/>
        <v>78</v>
      </c>
      <c r="J387" s="3">
        <f t="shared" si="13"/>
        <v>338</v>
      </c>
      <c r="K387" t="s">
        <v>15</v>
      </c>
      <c r="L387" t="s">
        <v>16</v>
      </c>
      <c r="M387" t="s">
        <v>17</v>
      </c>
    </row>
    <row r="388" spans="1:13">
      <c r="A388" s="2">
        <v>46106</v>
      </c>
      <c r="B388" t="s">
        <v>42</v>
      </c>
      <c r="C388" t="s">
        <v>39</v>
      </c>
      <c r="D388" t="s">
        <v>19</v>
      </c>
      <c r="E388" s="4">
        <v>15</v>
      </c>
      <c r="F388" s="4">
        <v>4</v>
      </c>
      <c r="G388" s="4">
        <v>310</v>
      </c>
      <c r="H388" s="3">
        <v>7</v>
      </c>
      <c r="I388" s="3">
        <f t="shared" si="12"/>
        <v>105</v>
      </c>
      <c r="J388" s="3">
        <f t="shared" si="13"/>
        <v>415</v>
      </c>
      <c r="K388" t="s">
        <v>15</v>
      </c>
      <c r="L388" t="s">
        <v>16</v>
      </c>
      <c r="M388" t="s">
        <v>17</v>
      </c>
    </row>
    <row r="389" spans="1:13">
      <c r="A389" s="2">
        <v>46106</v>
      </c>
      <c r="B389" t="s">
        <v>42</v>
      </c>
      <c r="C389" t="s">
        <v>39</v>
      </c>
      <c r="D389" t="s">
        <v>21</v>
      </c>
      <c r="E389" s="4">
        <v>10</v>
      </c>
      <c r="F389" s="4">
        <v>3</v>
      </c>
      <c r="G389" s="4">
        <v>220</v>
      </c>
      <c r="H389" s="3">
        <v>7</v>
      </c>
      <c r="I389" s="3">
        <f t="shared" si="12"/>
        <v>70</v>
      </c>
      <c r="J389" s="3">
        <f t="shared" si="13"/>
        <v>290</v>
      </c>
      <c r="K389" t="s">
        <v>15</v>
      </c>
      <c r="L389" t="s">
        <v>16</v>
      </c>
      <c r="M389" t="s">
        <v>20</v>
      </c>
    </row>
    <row r="390" spans="1:13">
      <c r="A390" s="2">
        <v>46106</v>
      </c>
      <c r="B390" t="s">
        <v>42</v>
      </c>
      <c r="C390" t="s">
        <v>39</v>
      </c>
      <c r="D390" t="s">
        <v>22</v>
      </c>
      <c r="E390" s="4">
        <v>9</v>
      </c>
      <c r="F390" s="4">
        <v>4</v>
      </c>
      <c r="G390" s="4">
        <v>200</v>
      </c>
      <c r="H390" s="3">
        <v>7</v>
      </c>
      <c r="I390" s="3">
        <f t="shared" si="12"/>
        <v>63</v>
      </c>
      <c r="J390" s="3">
        <f t="shared" si="13"/>
        <v>263</v>
      </c>
      <c r="K390" t="s">
        <v>15</v>
      </c>
      <c r="L390" t="s">
        <v>16</v>
      </c>
      <c r="M390" t="s">
        <v>20</v>
      </c>
    </row>
    <row r="391" spans="1:13">
      <c r="A391" s="2">
        <v>46106</v>
      </c>
      <c r="B391" t="s">
        <v>42</v>
      </c>
      <c r="C391" t="s">
        <v>39</v>
      </c>
      <c r="D391" t="s">
        <v>23</v>
      </c>
      <c r="E391" s="4">
        <v>12</v>
      </c>
      <c r="F391" s="4">
        <v>7</v>
      </c>
      <c r="G391" s="4">
        <v>240</v>
      </c>
      <c r="H391" s="3">
        <v>8</v>
      </c>
      <c r="I391" s="3">
        <f t="shared" si="12"/>
        <v>96</v>
      </c>
      <c r="J391" s="3">
        <f t="shared" si="13"/>
        <v>336</v>
      </c>
      <c r="K391" t="s">
        <v>26</v>
      </c>
      <c r="L391" t="s">
        <v>16</v>
      </c>
      <c r="M391" t="s">
        <v>24</v>
      </c>
    </row>
    <row r="392" spans="1:13">
      <c r="A392" s="2">
        <v>46106</v>
      </c>
      <c r="B392" t="s">
        <v>42</v>
      </c>
      <c r="C392" t="s">
        <v>39</v>
      </c>
      <c r="D392" t="s">
        <v>25</v>
      </c>
      <c r="E392" s="4">
        <v>16</v>
      </c>
      <c r="F392" s="4">
        <v>10</v>
      </c>
      <c r="G392" s="4">
        <v>300</v>
      </c>
      <c r="H392" s="3">
        <v>9</v>
      </c>
      <c r="I392" s="3">
        <f t="shared" si="12"/>
        <v>144</v>
      </c>
      <c r="J392" s="3">
        <f t="shared" si="13"/>
        <v>444</v>
      </c>
      <c r="K392" t="s">
        <v>26</v>
      </c>
      <c r="L392" t="s">
        <v>16</v>
      </c>
      <c r="M392" t="s">
        <v>24</v>
      </c>
    </row>
    <row r="393" spans="1:13">
      <c r="A393" s="2">
        <v>46106</v>
      </c>
      <c r="B393" t="s">
        <v>42</v>
      </c>
      <c r="C393" t="s">
        <v>39</v>
      </c>
      <c r="D393" t="s">
        <v>27</v>
      </c>
      <c r="E393" s="4">
        <v>14</v>
      </c>
      <c r="F393" s="4">
        <v>9</v>
      </c>
      <c r="G393" s="4">
        <v>280</v>
      </c>
      <c r="H393" s="3">
        <v>8.5</v>
      </c>
      <c r="I393" s="3">
        <f t="shared" si="12"/>
        <v>119</v>
      </c>
      <c r="J393" s="3">
        <f t="shared" si="13"/>
        <v>399</v>
      </c>
      <c r="K393" t="s">
        <v>26</v>
      </c>
      <c r="L393" t="s">
        <v>16</v>
      </c>
      <c r="M393" t="s">
        <v>24</v>
      </c>
    </row>
    <row r="394" spans="1:13">
      <c r="A394" s="2">
        <v>46106</v>
      </c>
      <c r="B394" t="s">
        <v>42</v>
      </c>
      <c r="C394" t="s">
        <v>39</v>
      </c>
      <c r="D394" t="s">
        <v>29</v>
      </c>
      <c r="E394" s="4">
        <v>11</v>
      </c>
      <c r="F394" s="4">
        <v>7</v>
      </c>
      <c r="G394" s="4">
        <v>230</v>
      </c>
      <c r="H394" s="3">
        <v>7.5</v>
      </c>
      <c r="I394" s="3">
        <f t="shared" si="12"/>
        <v>82.5</v>
      </c>
      <c r="J394" s="3">
        <f t="shared" si="13"/>
        <v>312.5</v>
      </c>
      <c r="K394" t="s">
        <v>15</v>
      </c>
      <c r="L394" t="s">
        <v>16</v>
      </c>
      <c r="M394" t="s">
        <v>20</v>
      </c>
    </row>
    <row r="395" spans="1:13">
      <c r="A395" s="2">
        <v>46106</v>
      </c>
      <c r="B395" t="s">
        <v>42</v>
      </c>
      <c r="C395" t="s">
        <v>39</v>
      </c>
      <c r="D395" t="s">
        <v>30</v>
      </c>
      <c r="E395" s="4">
        <v>13</v>
      </c>
      <c r="F395" s="4">
        <v>8</v>
      </c>
      <c r="G395" s="4">
        <v>250</v>
      </c>
      <c r="H395" s="3">
        <v>8</v>
      </c>
      <c r="I395" s="3">
        <f t="shared" si="12"/>
        <v>104</v>
      </c>
      <c r="J395" s="3">
        <f t="shared" si="13"/>
        <v>354</v>
      </c>
      <c r="K395" t="s">
        <v>26</v>
      </c>
      <c r="L395" t="s">
        <v>16</v>
      </c>
      <c r="M395" t="s">
        <v>17</v>
      </c>
    </row>
    <row r="396" spans="1:13">
      <c r="A396" s="2">
        <v>46106</v>
      </c>
      <c r="B396" t="s">
        <v>42</v>
      </c>
      <c r="C396" t="s">
        <v>39</v>
      </c>
      <c r="D396" t="s">
        <v>31</v>
      </c>
      <c r="E396" s="4">
        <v>18</v>
      </c>
      <c r="F396" s="4">
        <v>11</v>
      </c>
      <c r="G396" s="4">
        <v>340</v>
      </c>
      <c r="H396" s="3">
        <v>9</v>
      </c>
      <c r="I396" s="3">
        <f t="shared" si="12"/>
        <v>162</v>
      </c>
      <c r="J396" s="3">
        <f t="shared" si="13"/>
        <v>502</v>
      </c>
      <c r="K396" t="s">
        <v>26</v>
      </c>
      <c r="L396" t="s">
        <v>16</v>
      </c>
      <c r="M396" t="s">
        <v>17</v>
      </c>
    </row>
    <row r="397" spans="1:13">
      <c r="A397" s="2">
        <v>46106</v>
      </c>
      <c r="B397" t="s">
        <v>42</v>
      </c>
      <c r="C397" t="s">
        <v>39</v>
      </c>
      <c r="D397" t="s">
        <v>32</v>
      </c>
      <c r="E397" s="4">
        <v>24</v>
      </c>
      <c r="F397" s="4">
        <v>14</v>
      </c>
      <c r="G397" s="4">
        <v>420</v>
      </c>
      <c r="H397" s="3">
        <v>10</v>
      </c>
      <c r="I397" s="3">
        <f t="shared" si="12"/>
        <v>240</v>
      </c>
      <c r="J397" s="3">
        <f t="shared" si="13"/>
        <v>660</v>
      </c>
      <c r="K397" t="s">
        <v>40</v>
      </c>
      <c r="L397" t="s">
        <v>28</v>
      </c>
      <c r="M397" t="s">
        <v>24</v>
      </c>
    </row>
    <row r="398" spans="1:13">
      <c r="A398" s="2">
        <v>46106</v>
      </c>
      <c r="B398" t="s">
        <v>42</v>
      </c>
      <c r="C398" t="s">
        <v>39</v>
      </c>
      <c r="D398" t="s">
        <v>33</v>
      </c>
      <c r="E398" s="4">
        <v>20</v>
      </c>
      <c r="F398" s="4">
        <v>12</v>
      </c>
      <c r="G398" s="4">
        <v>360</v>
      </c>
      <c r="H398" s="3">
        <v>9.5</v>
      </c>
      <c r="I398" s="3">
        <f t="shared" si="12"/>
        <v>190</v>
      </c>
      <c r="J398" s="3">
        <f t="shared" si="13"/>
        <v>550</v>
      </c>
      <c r="K398" t="s">
        <v>40</v>
      </c>
      <c r="L398" t="s">
        <v>28</v>
      </c>
      <c r="M398" t="s">
        <v>24</v>
      </c>
    </row>
    <row r="399" spans="1:13">
      <c r="A399" s="2">
        <v>46106</v>
      </c>
      <c r="B399" t="s">
        <v>42</v>
      </c>
      <c r="C399" t="s">
        <v>39</v>
      </c>
      <c r="D399" t="s">
        <v>34</v>
      </c>
      <c r="E399" s="4">
        <v>15</v>
      </c>
      <c r="F399" s="4">
        <v>8</v>
      </c>
      <c r="G399" s="4">
        <v>280</v>
      </c>
      <c r="H399" s="3">
        <v>8.5</v>
      </c>
      <c r="I399" s="3">
        <f t="shared" si="12"/>
        <v>127.5</v>
      </c>
      <c r="J399" s="3">
        <f t="shared" si="13"/>
        <v>407.5</v>
      </c>
      <c r="K399" t="s">
        <v>26</v>
      </c>
      <c r="L399" t="s">
        <v>16</v>
      </c>
      <c r="M399" t="s">
        <v>20</v>
      </c>
    </row>
    <row r="400" spans="1:13">
      <c r="A400" s="2">
        <v>46106</v>
      </c>
      <c r="B400" t="s">
        <v>42</v>
      </c>
      <c r="C400" t="s">
        <v>39</v>
      </c>
      <c r="D400" t="s">
        <v>36</v>
      </c>
      <c r="E400" s="4">
        <v>11</v>
      </c>
      <c r="F400" s="4">
        <v>5</v>
      </c>
      <c r="G400" s="4">
        <v>210</v>
      </c>
      <c r="H400" s="3">
        <v>7.5</v>
      </c>
      <c r="I400" s="3">
        <f t="shared" si="12"/>
        <v>82.5</v>
      </c>
      <c r="J400" s="3">
        <f t="shared" si="13"/>
        <v>292.5</v>
      </c>
      <c r="K400" t="s">
        <v>15</v>
      </c>
      <c r="L400" t="s">
        <v>16</v>
      </c>
      <c r="M400" t="s">
        <v>35</v>
      </c>
    </row>
    <row r="401" spans="1:13">
      <c r="A401" s="2">
        <v>46106</v>
      </c>
      <c r="B401" t="s">
        <v>42</v>
      </c>
      <c r="C401" t="s">
        <v>39</v>
      </c>
      <c r="D401" t="s">
        <v>37</v>
      </c>
      <c r="E401" s="4">
        <v>7</v>
      </c>
      <c r="F401" s="4">
        <v>3</v>
      </c>
      <c r="G401" s="4">
        <v>150</v>
      </c>
      <c r="H401" s="3">
        <v>7</v>
      </c>
      <c r="I401" s="3">
        <f t="shared" si="12"/>
        <v>49</v>
      </c>
      <c r="J401" s="3">
        <f t="shared" si="13"/>
        <v>199</v>
      </c>
      <c r="K401" t="s">
        <v>15</v>
      </c>
      <c r="L401" t="s">
        <v>16</v>
      </c>
      <c r="M401" t="s">
        <v>35</v>
      </c>
    </row>
    <row r="402" spans="1:13">
      <c r="A402" s="2">
        <v>46107</v>
      </c>
      <c r="B402" t="s">
        <v>43</v>
      </c>
      <c r="C402" t="s">
        <v>39</v>
      </c>
      <c r="D402" t="s">
        <v>14</v>
      </c>
      <c r="E402" s="4">
        <v>8</v>
      </c>
      <c r="F402" s="4">
        <v>2</v>
      </c>
      <c r="G402" s="4">
        <v>180</v>
      </c>
      <c r="H402" s="3">
        <v>6</v>
      </c>
      <c r="I402" s="3">
        <f t="shared" si="12"/>
        <v>48</v>
      </c>
      <c r="J402" s="3">
        <f t="shared" si="13"/>
        <v>228</v>
      </c>
      <c r="K402" t="s">
        <v>15</v>
      </c>
      <c r="L402" t="s">
        <v>16</v>
      </c>
      <c r="M402" t="s">
        <v>17</v>
      </c>
    </row>
    <row r="403" spans="1:13">
      <c r="A403" s="2">
        <v>46107</v>
      </c>
      <c r="B403" t="s">
        <v>43</v>
      </c>
      <c r="C403" t="s">
        <v>39</v>
      </c>
      <c r="D403" t="s">
        <v>18</v>
      </c>
      <c r="E403" s="4">
        <v>12</v>
      </c>
      <c r="F403" s="4">
        <v>3</v>
      </c>
      <c r="G403" s="4">
        <v>260</v>
      </c>
      <c r="H403" s="3">
        <v>6.5</v>
      </c>
      <c r="I403" s="3">
        <f t="shared" si="12"/>
        <v>78</v>
      </c>
      <c r="J403" s="3">
        <f t="shared" si="13"/>
        <v>338</v>
      </c>
      <c r="K403" t="s">
        <v>15</v>
      </c>
      <c r="L403" t="s">
        <v>16</v>
      </c>
      <c r="M403" t="s">
        <v>17</v>
      </c>
    </row>
    <row r="404" spans="1:13">
      <c r="A404" s="2">
        <v>46107</v>
      </c>
      <c r="B404" t="s">
        <v>43</v>
      </c>
      <c r="C404" t="s">
        <v>39</v>
      </c>
      <c r="D404" t="s">
        <v>19</v>
      </c>
      <c r="E404" s="4">
        <v>15</v>
      </c>
      <c r="F404" s="4">
        <v>4</v>
      </c>
      <c r="G404" s="4">
        <v>310</v>
      </c>
      <c r="H404" s="3">
        <v>7</v>
      </c>
      <c r="I404" s="3">
        <f t="shared" si="12"/>
        <v>105</v>
      </c>
      <c r="J404" s="3">
        <f t="shared" si="13"/>
        <v>415</v>
      </c>
      <c r="K404" t="s">
        <v>15</v>
      </c>
      <c r="L404" t="s">
        <v>16</v>
      </c>
      <c r="M404" t="s">
        <v>17</v>
      </c>
    </row>
    <row r="405" spans="1:13">
      <c r="A405" s="2">
        <v>46107</v>
      </c>
      <c r="B405" t="s">
        <v>43</v>
      </c>
      <c r="C405" t="s">
        <v>39</v>
      </c>
      <c r="D405" t="s">
        <v>21</v>
      </c>
      <c r="E405" s="4">
        <v>10</v>
      </c>
      <c r="F405" s="4">
        <v>3</v>
      </c>
      <c r="G405" s="4">
        <v>220</v>
      </c>
      <c r="H405" s="3">
        <v>7</v>
      </c>
      <c r="I405" s="3">
        <f t="shared" si="12"/>
        <v>70</v>
      </c>
      <c r="J405" s="3">
        <f t="shared" si="13"/>
        <v>290</v>
      </c>
      <c r="K405" t="s">
        <v>15</v>
      </c>
      <c r="L405" t="s">
        <v>16</v>
      </c>
      <c r="M405" t="s">
        <v>20</v>
      </c>
    </row>
    <row r="406" spans="1:13">
      <c r="A406" s="2">
        <v>46107</v>
      </c>
      <c r="B406" t="s">
        <v>43</v>
      </c>
      <c r="C406" t="s">
        <v>39</v>
      </c>
      <c r="D406" t="s">
        <v>22</v>
      </c>
      <c r="E406" s="4">
        <v>9</v>
      </c>
      <c r="F406" s="4">
        <v>4</v>
      </c>
      <c r="G406" s="4">
        <v>200</v>
      </c>
      <c r="H406" s="3">
        <v>7</v>
      </c>
      <c r="I406" s="3">
        <f t="shared" si="12"/>
        <v>63</v>
      </c>
      <c r="J406" s="3">
        <f t="shared" si="13"/>
        <v>263</v>
      </c>
      <c r="K406" t="s">
        <v>15</v>
      </c>
      <c r="L406" t="s">
        <v>16</v>
      </c>
      <c r="M406" t="s">
        <v>20</v>
      </c>
    </row>
    <row r="407" spans="1:13">
      <c r="A407" s="2">
        <v>46107</v>
      </c>
      <c r="B407" t="s">
        <v>43</v>
      </c>
      <c r="C407" t="s">
        <v>39</v>
      </c>
      <c r="D407" t="s">
        <v>23</v>
      </c>
      <c r="E407" s="4">
        <v>12</v>
      </c>
      <c r="F407" s="4">
        <v>7</v>
      </c>
      <c r="G407" s="4">
        <v>240</v>
      </c>
      <c r="H407" s="3">
        <v>8</v>
      </c>
      <c r="I407" s="3">
        <f t="shared" si="12"/>
        <v>96</v>
      </c>
      <c r="J407" s="3">
        <f t="shared" si="13"/>
        <v>336</v>
      </c>
      <c r="K407" t="s">
        <v>26</v>
      </c>
      <c r="L407" t="s">
        <v>16</v>
      </c>
      <c r="M407" t="s">
        <v>24</v>
      </c>
    </row>
    <row r="408" spans="1:13">
      <c r="A408" s="2">
        <v>46107</v>
      </c>
      <c r="B408" t="s">
        <v>43</v>
      </c>
      <c r="C408" t="s">
        <v>39</v>
      </c>
      <c r="D408" t="s">
        <v>25</v>
      </c>
      <c r="E408" s="4">
        <v>16</v>
      </c>
      <c r="F408" s="4">
        <v>10</v>
      </c>
      <c r="G408" s="4">
        <v>300</v>
      </c>
      <c r="H408" s="3">
        <v>9</v>
      </c>
      <c r="I408" s="3">
        <f t="shared" si="12"/>
        <v>144</v>
      </c>
      <c r="J408" s="3">
        <f t="shared" si="13"/>
        <v>444</v>
      </c>
      <c r="K408" t="s">
        <v>26</v>
      </c>
      <c r="L408" t="s">
        <v>16</v>
      </c>
      <c r="M408" t="s">
        <v>24</v>
      </c>
    </row>
    <row r="409" spans="1:13">
      <c r="A409" s="2">
        <v>46107</v>
      </c>
      <c r="B409" t="s">
        <v>43</v>
      </c>
      <c r="C409" t="s">
        <v>39</v>
      </c>
      <c r="D409" t="s">
        <v>27</v>
      </c>
      <c r="E409" s="4">
        <v>14</v>
      </c>
      <c r="F409" s="4">
        <v>9</v>
      </c>
      <c r="G409" s="4">
        <v>280</v>
      </c>
      <c r="H409" s="3">
        <v>8.5</v>
      </c>
      <c r="I409" s="3">
        <f t="shared" si="12"/>
        <v>119</v>
      </c>
      <c r="J409" s="3">
        <f t="shared" si="13"/>
        <v>399</v>
      </c>
      <c r="K409" t="s">
        <v>26</v>
      </c>
      <c r="L409" t="s">
        <v>16</v>
      </c>
      <c r="M409" t="s">
        <v>24</v>
      </c>
    </row>
    <row r="410" spans="1:13">
      <c r="A410" s="2">
        <v>46107</v>
      </c>
      <c r="B410" t="s">
        <v>43</v>
      </c>
      <c r="C410" t="s">
        <v>39</v>
      </c>
      <c r="D410" t="s">
        <v>29</v>
      </c>
      <c r="E410" s="4">
        <v>11</v>
      </c>
      <c r="F410" s="4">
        <v>7</v>
      </c>
      <c r="G410" s="4">
        <v>230</v>
      </c>
      <c r="H410" s="3">
        <v>7.5</v>
      </c>
      <c r="I410" s="3">
        <f t="shared" si="12"/>
        <v>82.5</v>
      </c>
      <c r="J410" s="3">
        <f t="shared" si="13"/>
        <v>312.5</v>
      </c>
      <c r="K410" t="s">
        <v>15</v>
      </c>
      <c r="L410" t="s">
        <v>16</v>
      </c>
      <c r="M410" t="s">
        <v>20</v>
      </c>
    </row>
    <row r="411" spans="1:13">
      <c r="A411" s="2">
        <v>46107</v>
      </c>
      <c r="B411" t="s">
        <v>43</v>
      </c>
      <c r="C411" t="s">
        <v>39</v>
      </c>
      <c r="D411" t="s">
        <v>30</v>
      </c>
      <c r="E411" s="4">
        <v>13</v>
      </c>
      <c r="F411" s="4">
        <v>8</v>
      </c>
      <c r="G411" s="4">
        <v>250</v>
      </c>
      <c r="H411" s="3">
        <v>8</v>
      </c>
      <c r="I411" s="3">
        <f t="shared" si="12"/>
        <v>104</v>
      </c>
      <c r="J411" s="3">
        <f t="shared" si="13"/>
        <v>354</v>
      </c>
      <c r="K411" t="s">
        <v>26</v>
      </c>
      <c r="L411" t="s">
        <v>16</v>
      </c>
      <c r="M411" t="s">
        <v>17</v>
      </c>
    </row>
    <row r="412" spans="1:13">
      <c r="A412" s="2">
        <v>46107</v>
      </c>
      <c r="B412" t="s">
        <v>43</v>
      </c>
      <c r="C412" t="s">
        <v>39</v>
      </c>
      <c r="D412" t="s">
        <v>31</v>
      </c>
      <c r="E412" s="4">
        <v>18</v>
      </c>
      <c r="F412" s="4">
        <v>11</v>
      </c>
      <c r="G412" s="4">
        <v>340</v>
      </c>
      <c r="H412" s="3">
        <v>9</v>
      </c>
      <c r="I412" s="3">
        <f t="shared" si="12"/>
        <v>162</v>
      </c>
      <c r="J412" s="3">
        <f t="shared" si="13"/>
        <v>502</v>
      </c>
      <c r="K412" t="s">
        <v>26</v>
      </c>
      <c r="L412" t="s">
        <v>16</v>
      </c>
      <c r="M412" t="s">
        <v>17</v>
      </c>
    </row>
    <row r="413" spans="1:13">
      <c r="A413" s="2">
        <v>46107</v>
      </c>
      <c r="B413" t="s">
        <v>43</v>
      </c>
      <c r="C413" t="s">
        <v>39</v>
      </c>
      <c r="D413" t="s">
        <v>32</v>
      </c>
      <c r="E413" s="4">
        <v>24</v>
      </c>
      <c r="F413" s="4">
        <v>14</v>
      </c>
      <c r="G413" s="4">
        <v>420</v>
      </c>
      <c r="H413" s="3">
        <v>10</v>
      </c>
      <c r="I413" s="3">
        <f t="shared" si="12"/>
        <v>240</v>
      </c>
      <c r="J413" s="3">
        <f t="shared" si="13"/>
        <v>660</v>
      </c>
      <c r="K413" t="s">
        <v>40</v>
      </c>
      <c r="L413" t="s">
        <v>28</v>
      </c>
      <c r="M413" t="s">
        <v>24</v>
      </c>
    </row>
    <row r="414" spans="1:13">
      <c r="A414" s="2">
        <v>46107</v>
      </c>
      <c r="B414" t="s">
        <v>43</v>
      </c>
      <c r="C414" t="s">
        <v>39</v>
      </c>
      <c r="D414" t="s">
        <v>33</v>
      </c>
      <c r="E414" s="4">
        <v>20</v>
      </c>
      <c r="F414" s="4">
        <v>12</v>
      </c>
      <c r="G414" s="4">
        <v>360</v>
      </c>
      <c r="H414" s="3">
        <v>9.5</v>
      </c>
      <c r="I414" s="3">
        <f t="shared" si="12"/>
        <v>190</v>
      </c>
      <c r="J414" s="3">
        <f t="shared" si="13"/>
        <v>550</v>
      </c>
      <c r="K414" t="s">
        <v>40</v>
      </c>
      <c r="L414" t="s">
        <v>28</v>
      </c>
      <c r="M414" t="s">
        <v>24</v>
      </c>
    </row>
    <row r="415" spans="1:13">
      <c r="A415" s="2">
        <v>46107</v>
      </c>
      <c r="B415" t="s">
        <v>43</v>
      </c>
      <c r="C415" t="s">
        <v>39</v>
      </c>
      <c r="D415" t="s">
        <v>34</v>
      </c>
      <c r="E415" s="4">
        <v>15</v>
      </c>
      <c r="F415" s="4">
        <v>8</v>
      </c>
      <c r="G415" s="4">
        <v>280</v>
      </c>
      <c r="H415" s="3">
        <v>8.5</v>
      </c>
      <c r="I415" s="3">
        <f t="shared" si="12"/>
        <v>127.5</v>
      </c>
      <c r="J415" s="3">
        <f t="shared" si="13"/>
        <v>407.5</v>
      </c>
      <c r="K415" t="s">
        <v>26</v>
      </c>
      <c r="L415" t="s">
        <v>16</v>
      </c>
      <c r="M415" t="s">
        <v>20</v>
      </c>
    </row>
    <row r="416" spans="1:13">
      <c r="A416" s="2">
        <v>46107</v>
      </c>
      <c r="B416" t="s">
        <v>43</v>
      </c>
      <c r="C416" t="s">
        <v>39</v>
      </c>
      <c r="D416" t="s">
        <v>36</v>
      </c>
      <c r="E416" s="4">
        <v>11</v>
      </c>
      <c r="F416" s="4">
        <v>5</v>
      </c>
      <c r="G416" s="4">
        <v>210</v>
      </c>
      <c r="H416" s="3">
        <v>7.5</v>
      </c>
      <c r="I416" s="3">
        <f t="shared" si="12"/>
        <v>82.5</v>
      </c>
      <c r="J416" s="3">
        <f t="shared" si="13"/>
        <v>292.5</v>
      </c>
      <c r="K416" t="s">
        <v>15</v>
      </c>
      <c r="L416" t="s">
        <v>16</v>
      </c>
      <c r="M416" t="s">
        <v>35</v>
      </c>
    </row>
    <row r="417" spans="1:13">
      <c r="A417" s="2">
        <v>46107</v>
      </c>
      <c r="B417" t="s">
        <v>43</v>
      </c>
      <c r="C417" t="s">
        <v>39</v>
      </c>
      <c r="D417" t="s">
        <v>37</v>
      </c>
      <c r="E417" s="4">
        <v>7</v>
      </c>
      <c r="F417" s="4">
        <v>3</v>
      </c>
      <c r="G417" s="4">
        <v>150</v>
      </c>
      <c r="H417" s="3">
        <v>7</v>
      </c>
      <c r="I417" s="3">
        <f t="shared" si="12"/>
        <v>49</v>
      </c>
      <c r="J417" s="3">
        <f t="shared" si="13"/>
        <v>199</v>
      </c>
      <c r="K417" t="s">
        <v>15</v>
      </c>
      <c r="L417" t="s">
        <v>16</v>
      </c>
      <c r="M417" t="s">
        <v>35</v>
      </c>
    </row>
    <row r="418" spans="1:13">
      <c r="A418" s="2">
        <v>46108</v>
      </c>
      <c r="B418" t="s">
        <v>44</v>
      </c>
      <c r="C418" t="s">
        <v>39</v>
      </c>
      <c r="D418" t="s">
        <v>14</v>
      </c>
      <c r="E418" s="4">
        <v>8</v>
      </c>
      <c r="F418" s="4">
        <v>2</v>
      </c>
      <c r="G418" s="4">
        <v>180</v>
      </c>
      <c r="H418" s="3">
        <v>6</v>
      </c>
      <c r="I418" s="3">
        <f t="shared" si="12"/>
        <v>48</v>
      </c>
      <c r="J418" s="3">
        <f t="shared" si="13"/>
        <v>228</v>
      </c>
      <c r="K418" t="s">
        <v>15</v>
      </c>
      <c r="L418" t="s">
        <v>16</v>
      </c>
      <c r="M418" t="s">
        <v>17</v>
      </c>
    </row>
    <row r="419" spans="1:13">
      <c r="A419" s="2">
        <v>46108</v>
      </c>
      <c r="B419" t="s">
        <v>44</v>
      </c>
      <c r="C419" t="s">
        <v>39</v>
      </c>
      <c r="D419" t="s">
        <v>18</v>
      </c>
      <c r="E419" s="4">
        <v>12</v>
      </c>
      <c r="F419" s="4">
        <v>3</v>
      </c>
      <c r="G419" s="4">
        <v>260</v>
      </c>
      <c r="H419" s="3">
        <v>6.5</v>
      </c>
      <c r="I419" s="3">
        <f t="shared" si="12"/>
        <v>78</v>
      </c>
      <c r="J419" s="3">
        <f t="shared" si="13"/>
        <v>338</v>
      </c>
      <c r="K419" t="s">
        <v>15</v>
      </c>
      <c r="L419" t="s">
        <v>16</v>
      </c>
      <c r="M419" t="s">
        <v>17</v>
      </c>
    </row>
    <row r="420" spans="1:13">
      <c r="A420" s="2">
        <v>46108</v>
      </c>
      <c r="B420" t="s">
        <v>44</v>
      </c>
      <c r="C420" t="s">
        <v>39</v>
      </c>
      <c r="D420" t="s">
        <v>19</v>
      </c>
      <c r="E420" s="4">
        <v>15</v>
      </c>
      <c r="F420" s="4">
        <v>4</v>
      </c>
      <c r="G420" s="4">
        <v>310</v>
      </c>
      <c r="H420" s="3">
        <v>7</v>
      </c>
      <c r="I420" s="3">
        <f t="shared" si="12"/>
        <v>105</v>
      </c>
      <c r="J420" s="3">
        <f t="shared" si="13"/>
        <v>415</v>
      </c>
      <c r="K420" t="s">
        <v>15</v>
      </c>
      <c r="L420" t="s">
        <v>16</v>
      </c>
      <c r="M420" t="s">
        <v>17</v>
      </c>
    </row>
    <row r="421" spans="1:13">
      <c r="A421" s="2">
        <v>46108</v>
      </c>
      <c r="B421" t="s">
        <v>44</v>
      </c>
      <c r="C421" t="s">
        <v>39</v>
      </c>
      <c r="D421" t="s">
        <v>21</v>
      </c>
      <c r="E421" s="4">
        <v>10</v>
      </c>
      <c r="F421" s="4">
        <v>3</v>
      </c>
      <c r="G421" s="4">
        <v>220</v>
      </c>
      <c r="H421" s="3">
        <v>7</v>
      </c>
      <c r="I421" s="3">
        <f t="shared" si="12"/>
        <v>70</v>
      </c>
      <c r="J421" s="3">
        <f t="shared" si="13"/>
        <v>290</v>
      </c>
      <c r="K421" t="s">
        <v>15</v>
      </c>
      <c r="L421" t="s">
        <v>16</v>
      </c>
      <c r="M421" t="s">
        <v>20</v>
      </c>
    </row>
    <row r="422" spans="1:13">
      <c r="A422" s="2">
        <v>46108</v>
      </c>
      <c r="B422" t="s">
        <v>44</v>
      </c>
      <c r="C422" t="s">
        <v>39</v>
      </c>
      <c r="D422" t="s">
        <v>22</v>
      </c>
      <c r="E422" s="4">
        <v>9</v>
      </c>
      <c r="F422" s="4">
        <v>4</v>
      </c>
      <c r="G422" s="4">
        <v>200</v>
      </c>
      <c r="H422" s="3">
        <v>7</v>
      </c>
      <c r="I422" s="3">
        <f t="shared" si="12"/>
        <v>63</v>
      </c>
      <c r="J422" s="3">
        <f t="shared" si="13"/>
        <v>263</v>
      </c>
      <c r="K422" t="s">
        <v>15</v>
      </c>
      <c r="L422" t="s">
        <v>16</v>
      </c>
      <c r="M422" t="s">
        <v>20</v>
      </c>
    </row>
    <row r="423" spans="1:13">
      <c r="A423" s="2">
        <v>46108</v>
      </c>
      <c r="B423" t="s">
        <v>44</v>
      </c>
      <c r="C423" t="s">
        <v>39</v>
      </c>
      <c r="D423" t="s">
        <v>23</v>
      </c>
      <c r="E423" s="4">
        <v>12</v>
      </c>
      <c r="F423" s="4">
        <v>7</v>
      </c>
      <c r="G423" s="4">
        <v>240</v>
      </c>
      <c r="H423" s="3">
        <v>8</v>
      </c>
      <c r="I423" s="3">
        <f t="shared" si="12"/>
        <v>96</v>
      </c>
      <c r="J423" s="3">
        <f t="shared" si="13"/>
        <v>336</v>
      </c>
      <c r="K423" t="s">
        <v>26</v>
      </c>
      <c r="L423" t="s">
        <v>16</v>
      </c>
      <c r="M423" t="s">
        <v>24</v>
      </c>
    </row>
    <row r="424" spans="1:13">
      <c r="A424" s="2">
        <v>46108</v>
      </c>
      <c r="B424" t="s">
        <v>44</v>
      </c>
      <c r="C424" t="s">
        <v>39</v>
      </c>
      <c r="D424" t="s">
        <v>25</v>
      </c>
      <c r="E424" s="4">
        <v>16</v>
      </c>
      <c r="F424" s="4">
        <v>10</v>
      </c>
      <c r="G424" s="4">
        <v>300</v>
      </c>
      <c r="H424" s="3">
        <v>9</v>
      </c>
      <c r="I424" s="3">
        <f t="shared" si="12"/>
        <v>144</v>
      </c>
      <c r="J424" s="3">
        <f t="shared" si="13"/>
        <v>444</v>
      </c>
      <c r="K424" t="s">
        <v>26</v>
      </c>
      <c r="L424" t="s">
        <v>16</v>
      </c>
      <c r="M424" t="s">
        <v>24</v>
      </c>
    </row>
    <row r="425" spans="1:13">
      <c r="A425" s="2">
        <v>46108</v>
      </c>
      <c r="B425" t="s">
        <v>44</v>
      </c>
      <c r="C425" t="s">
        <v>39</v>
      </c>
      <c r="D425" t="s">
        <v>27</v>
      </c>
      <c r="E425" s="4">
        <v>14</v>
      </c>
      <c r="F425" s="4">
        <v>9</v>
      </c>
      <c r="G425" s="4">
        <v>280</v>
      </c>
      <c r="H425" s="3">
        <v>8.5</v>
      </c>
      <c r="I425" s="3">
        <f t="shared" si="12"/>
        <v>119</v>
      </c>
      <c r="J425" s="3">
        <f t="shared" si="13"/>
        <v>399</v>
      </c>
      <c r="K425" t="s">
        <v>26</v>
      </c>
      <c r="L425" t="s">
        <v>16</v>
      </c>
      <c r="M425" t="s">
        <v>24</v>
      </c>
    </row>
    <row r="426" spans="1:13">
      <c r="A426" s="2">
        <v>46108</v>
      </c>
      <c r="B426" t="s">
        <v>44</v>
      </c>
      <c r="C426" t="s">
        <v>39</v>
      </c>
      <c r="D426" t="s">
        <v>29</v>
      </c>
      <c r="E426" s="4">
        <v>11</v>
      </c>
      <c r="F426" s="4">
        <v>7</v>
      </c>
      <c r="G426" s="4">
        <v>230</v>
      </c>
      <c r="H426" s="3">
        <v>7.5</v>
      </c>
      <c r="I426" s="3">
        <f t="shared" si="12"/>
        <v>82.5</v>
      </c>
      <c r="J426" s="3">
        <f t="shared" si="13"/>
        <v>312.5</v>
      </c>
      <c r="K426" t="s">
        <v>15</v>
      </c>
      <c r="L426" t="s">
        <v>16</v>
      </c>
      <c r="M426" t="s">
        <v>20</v>
      </c>
    </row>
    <row r="427" spans="1:13">
      <c r="A427" s="2">
        <v>46108</v>
      </c>
      <c r="B427" t="s">
        <v>44</v>
      </c>
      <c r="C427" t="s">
        <v>39</v>
      </c>
      <c r="D427" t="s">
        <v>30</v>
      </c>
      <c r="E427" s="4">
        <v>13</v>
      </c>
      <c r="F427" s="4">
        <v>8</v>
      </c>
      <c r="G427" s="4">
        <v>250</v>
      </c>
      <c r="H427" s="3">
        <v>8</v>
      </c>
      <c r="I427" s="3">
        <f t="shared" si="12"/>
        <v>104</v>
      </c>
      <c r="J427" s="3">
        <f t="shared" si="13"/>
        <v>354</v>
      </c>
      <c r="K427" t="s">
        <v>26</v>
      </c>
      <c r="L427" t="s">
        <v>16</v>
      </c>
      <c r="M427" t="s">
        <v>17</v>
      </c>
    </row>
    <row r="428" spans="1:13">
      <c r="A428" s="2">
        <v>46108</v>
      </c>
      <c r="B428" t="s">
        <v>44</v>
      </c>
      <c r="C428" t="s">
        <v>39</v>
      </c>
      <c r="D428" t="s">
        <v>31</v>
      </c>
      <c r="E428" s="4">
        <v>18</v>
      </c>
      <c r="F428" s="4">
        <v>11</v>
      </c>
      <c r="G428" s="4">
        <v>340</v>
      </c>
      <c r="H428" s="3">
        <v>9</v>
      </c>
      <c r="I428" s="3">
        <f t="shared" si="12"/>
        <v>162</v>
      </c>
      <c r="J428" s="3">
        <f t="shared" si="13"/>
        <v>502</v>
      </c>
      <c r="K428" t="s">
        <v>26</v>
      </c>
      <c r="L428" t="s">
        <v>16</v>
      </c>
      <c r="M428" t="s">
        <v>17</v>
      </c>
    </row>
    <row r="429" spans="1:13">
      <c r="A429" s="2">
        <v>46108</v>
      </c>
      <c r="B429" t="s">
        <v>44</v>
      </c>
      <c r="C429" t="s">
        <v>39</v>
      </c>
      <c r="D429" t="s">
        <v>32</v>
      </c>
      <c r="E429" s="4">
        <v>24</v>
      </c>
      <c r="F429" s="4">
        <v>14</v>
      </c>
      <c r="G429" s="4">
        <v>420</v>
      </c>
      <c r="H429" s="3">
        <v>10</v>
      </c>
      <c r="I429" s="3">
        <f t="shared" si="12"/>
        <v>240</v>
      </c>
      <c r="J429" s="3">
        <f t="shared" si="13"/>
        <v>660</v>
      </c>
      <c r="K429" t="s">
        <v>40</v>
      </c>
      <c r="L429" t="s">
        <v>28</v>
      </c>
      <c r="M429" t="s">
        <v>24</v>
      </c>
    </row>
    <row r="430" spans="1:13">
      <c r="A430" s="2">
        <v>46108</v>
      </c>
      <c r="B430" t="s">
        <v>44</v>
      </c>
      <c r="C430" t="s">
        <v>39</v>
      </c>
      <c r="D430" t="s">
        <v>33</v>
      </c>
      <c r="E430" s="4">
        <v>20</v>
      </c>
      <c r="F430" s="4">
        <v>12</v>
      </c>
      <c r="G430" s="4">
        <v>360</v>
      </c>
      <c r="H430" s="3">
        <v>9.5</v>
      </c>
      <c r="I430" s="3">
        <f t="shared" si="12"/>
        <v>190</v>
      </c>
      <c r="J430" s="3">
        <f t="shared" si="13"/>
        <v>550</v>
      </c>
      <c r="K430" t="s">
        <v>40</v>
      </c>
      <c r="L430" t="s">
        <v>28</v>
      </c>
      <c r="M430" t="s">
        <v>24</v>
      </c>
    </row>
    <row r="431" spans="1:13">
      <c r="A431" s="2">
        <v>46108</v>
      </c>
      <c r="B431" t="s">
        <v>44</v>
      </c>
      <c r="C431" t="s">
        <v>39</v>
      </c>
      <c r="D431" t="s">
        <v>34</v>
      </c>
      <c r="E431" s="4">
        <v>15</v>
      </c>
      <c r="F431" s="4">
        <v>8</v>
      </c>
      <c r="G431" s="4">
        <v>280</v>
      </c>
      <c r="H431" s="3">
        <v>8.5</v>
      </c>
      <c r="I431" s="3">
        <f t="shared" si="12"/>
        <v>127.5</v>
      </c>
      <c r="J431" s="3">
        <f t="shared" si="13"/>
        <v>407.5</v>
      </c>
      <c r="K431" t="s">
        <v>26</v>
      </c>
      <c r="L431" t="s">
        <v>16</v>
      </c>
      <c r="M431" t="s">
        <v>20</v>
      </c>
    </row>
    <row r="432" spans="1:13">
      <c r="A432" s="2">
        <v>46108</v>
      </c>
      <c r="B432" t="s">
        <v>44</v>
      </c>
      <c r="C432" t="s">
        <v>39</v>
      </c>
      <c r="D432" t="s">
        <v>36</v>
      </c>
      <c r="E432" s="4">
        <v>11</v>
      </c>
      <c r="F432" s="4">
        <v>5</v>
      </c>
      <c r="G432" s="4">
        <v>210</v>
      </c>
      <c r="H432" s="3">
        <v>7.5</v>
      </c>
      <c r="I432" s="3">
        <f t="shared" si="12"/>
        <v>82.5</v>
      </c>
      <c r="J432" s="3">
        <f t="shared" si="13"/>
        <v>292.5</v>
      </c>
      <c r="K432" t="s">
        <v>15</v>
      </c>
      <c r="L432" t="s">
        <v>16</v>
      </c>
      <c r="M432" t="s">
        <v>35</v>
      </c>
    </row>
    <row r="433" spans="1:13">
      <c r="A433" s="2">
        <v>46108</v>
      </c>
      <c r="B433" t="s">
        <v>44</v>
      </c>
      <c r="C433" t="s">
        <v>39</v>
      </c>
      <c r="D433" t="s">
        <v>37</v>
      </c>
      <c r="E433" s="4">
        <v>7</v>
      </c>
      <c r="F433" s="4">
        <v>3</v>
      </c>
      <c r="G433" s="4">
        <v>150</v>
      </c>
      <c r="H433" s="3">
        <v>7</v>
      </c>
      <c r="I433" s="3">
        <f t="shared" si="12"/>
        <v>49</v>
      </c>
      <c r="J433" s="3">
        <f t="shared" si="13"/>
        <v>199</v>
      </c>
      <c r="K433" t="s">
        <v>15</v>
      </c>
      <c r="L433" t="s">
        <v>16</v>
      </c>
      <c r="M433" t="s">
        <v>35</v>
      </c>
    </row>
    <row r="434" spans="1:13">
      <c r="A434" s="2">
        <v>46109</v>
      </c>
      <c r="B434" t="s">
        <v>45</v>
      </c>
      <c r="C434" t="s">
        <v>45</v>
      </c>
      <c r="D434" t="s">
        <v>14</v>
      </c>
      <c r="E434" s="4">
        <v>5</v>
      </c>
      <c r="F434" s="4">
        <v>1</v>
      </c>
      <c r="G434" s="4">
        <v>120</v>
      </c>
      <c r="H434" s="3">
        <v>6</v>
      </c>
      <c r="I434" s="3">
        <f t="shared" si="12"/>
        <v>30</v>
      </c>
      <c r="J434" s="3">
        <f t="shared" si="13"/>
        <v>150</v>
      </c>
      <c r="K434" t="s">
        <v>15</v>
      </c>
      <c r="L434" t="s">
        <v>16</v>
      </c>
      <c r="M434" t="s">
        <v>17</v>
      </c>
    </row>
    <row r="435" spans="1:13">
      <c r="A435" s="2">
        <v>46109</v>
      </c>
      <c r="B435" t="s">
        <v>45</v>
      </c>
      <c r="C435" t="s">
        <v>45</v>
      </c>
      <c r="D435" t="s">
        <v>18</v>
      </c>
      <c r="E435" s="4">
        <v>6</v>
      </c>
      <c r="F435" s="4">
        <v>2</v>
      </c>
      <c r="G435" s="4">
        <v>140</v>
      </c>
      <c r="H435" s="3">
        <v>6.5</v>
      </c>
      <c r="I435" s="3">
        <f t="shared" si="12"/>
        <v>39</v>
      </c>
      <c r="J435" s="3">
        <f t="shared" si="13"/>
        <v>179</v>
      </c>
      <c r="K435" t="s">
        <v>15</v>
      </c>
      <c r="L435" t="s">
        <v>16</v>
      </c>
      <c r="M435" t="s">
        <v>17</v>
      </c>
    </row>
    <row r="436" spans="1:13">
      <c r="A436" s="2">
        <v>46109</v>
      </c>
      <c r="B436" t="s">
        <v>45</v>
      </c>
      <c r="C436" t="s">
        <v>45</v>
      </c>
      <c r="D436" t="s">
        <v>19</v>
      </c>
      <c r="E436" s="4">
        <v>7</v>
      </c>
      <c r="F436" s="4">
        <v>2</v>
      </c>
      <c r="G436" s="4">
        <v>160</v>
      </c>
      <c r="H436" s="3">
        <v>7</v>
      </c>
      <c r="I436" s="3">
        <f t="shared" si="12"/>
        <v>49</v>
      </c>
      <c r="J436" s="3">
        <f t="shared" si="13"/>
        <v>209</v>
      </c>
      <c r="K436" t="s">
        <v>15</v>
      </c>
      <c r="L436" t="s">
        <v>16</v>
      </c>
      <c r="M436" t="s">
        <v>20</v>
      </c>
    </row>
    <row r="437" spans="1:13">
      <c r="A437" s="2">
        <v>46109</v>
      </c>
      <c r="B437" t="s">
        <v>45</v>
      </c>
      <c r="C437" t="s">
        <v>45</v>
      </c>
      <c r="D437" t="s">
        <v>21</v>
      </c>
      <c r="E437" s="4">
        <v>8</v>
      </c>
      <c r="F437" s="4">
        <v>3</v>
      </c>
      <c r="G437" s="4">
        <v>180</v>
      </c>
      <c r="H437" s="3">
        <v>7</v>
      </c>
      <c r="I437" s="3">
        <f t="shared" si="12"/>
        <v>56</v>
      </c>
      <c r="J437" s="3">
        <f t="shared" si="13"/>
        <v>236</v>
      </c>
      <c r="K437" t="s">
        <v>15</v>
      </c>
      <c r="L437" t="s">
        <v>16</v>
      </c>
      <c r="M437" t="s">
        <v>20</v>
      </c>
    </row>
    <row r="438" spans="1:13">
      <c r="A438" s="2">
        <v>46109</v>
      </c>
      <c r="B438" t="s">
        <v>45</v>
      </c>
      <c r="C438" t="s">
        <v>45</v>
      </c>
      <c r="D438" t="s">
        <v>22</v>
      </c>
      <c r="E438" s="4">
        <v>10</v>
      </c>
      <c r="F438" s="4">
        <v>5</v>
      </c>
      <c r="G438" s="4">
        <v>210</v>
      </c>
      <c r="H438" s="3">
        <v>7.5</v>
      </c>
      <c r="I438" s="3">
        <f t="shared" si="12"/>
        <v>75</v>
      </c>
      <c r="J438" s="3">
        <f t="shared" si="13"/>
        <v>285</v>
      </c>
      <c r="K438" t="s">
        <v>15</v>
      </c>
      <c r="L438" t="s">
        <v>16</v>
      </c>
      <c r="M438" t="s">
        <v>20</v>
      </c>
    </row>
    <row r="439" spans="1:13">
      <c r="A439" s="2">
        <v>46109</v>
      </c>
      <c r="B439" t="s">
        <v>45</v>
      </c>
      <c r="C439" t="s">
        <v>45</v>
      </c>
      <c r="D439" t="s">
        <v>23</v>
      </c>
      <c r="E439" s="4">
        <v>13</v>
      </c>
      <c r="F439" s="4">
        <v>8</v>
      </c>
      <c r="G439" s="4">
        <v>250</v>
      </c>
      <c r="H439" s="3">
        <v>8.5</v>
      </c>
      <c r="I439" s="3">
        <f t="shared" si="12"/>
        <v>110.5</v>
      </c>
      <c r="J439" s="3">
        <f t="shared" si="13"/>
        <v>360.5</v>
      </c>
      <c r="K439" t="s">
        <v>26</v>
      </c>
      <c r="L439" t="s">
        <v>16</v>
      </c>
      <c r="M439" t="s">
        <v>24</v>
      </c>
    </row>
    <row r="440" spans="1:13">
      <c r="A440" s="2">
        <v>46109</v>
      </c>
      <c r="B440" t="s">
        <v>45</v>
      </c>
      <c r="C440" t="s">
        <v>45</v>
      </c>
      <c r="D440" t="s">
        <v>25</v>
      </c>
      <c r="E440" s="4">
        <v>18</v>
      </c>
      <c r="F440" s="4">
        <v>12</v>
      </c>
      <c r="G440" s="4">
        <v>320</v>
      </c>
      <c r="H440" s="3">
        <v>9.5</v>
      </c>
      <c r="I440" s="3">
        <f t="shared" si="12"/>
        <v>171</v>
      </c>
      <c r="J440" s="3">
        <f t="shared" si="13"/>
        <v>491</v>
      </c>
      <c r="K440" t="s">
        <v>26</v>
      </c>
      <c r="L440" t="s">
        <v>28</v>
      </c>
      <c r="M440" t="s">
        <v>24</v>
      </c>
    </row>
    <row r="441" spans="1:13">
      <c r="A441" s="2">
        <v>46109</v>
      </c>
      <c r="B441" t="s">
        <v>45</v>
      </c>
      <c r="C441" t="s">
        <v>45</v>
      </c>
      <c r="D441" t="s">
        <v>27</v>
      </c>
      <c r="E441" s="4">
        <v>21</v>
      </c>
      <c r="F441" s="4">
        <v>14</v>
      </c>
      <c r="G441" s="4">
        <v>360</v>
      </c>
      <c r="H441" s="3">
        <v>10</v>
      </c>
      <c r="I441" s="3">
        <f t="shared" si="12"/>
        <v>210</v>
      </c>
      <c r="J441" s="3">
        <f t="shared" si="13"/>
        <v>570</v>
      </c>
      <c r="K441" t="s">
        <v>40</v>
      </c>
      <c r="L441" t="s">
        <v>28</v>
      </c>
      <c r="M441" t="s">
        <v>24</v>
      </c>
    </row>
    <row r="442" spans="1:13">
      <c r="A442" s="2">
        <v>46109</v>
      </c>
      <c r="B442" t="s">
        <v>45</v>
      </c>
      <c r="C442" t="s">
        <v>45</v>
      </c>
      <c r="D442" t="s">
        <v>29</v>
      </c>
      <c r="E442" s="4">
        <v>23</v>
      </c>
      <c r="F442" s="4">
        <v>15</v>
      </c>
      <c r="G442" s="4">
        <v>390</v>
      </c>
      <c r="H442" s="3">
        <v>10.5</v>
      </c>
      <c r="I442" s="3">
        <f t="shared" si="12"/>
        <v>241.5</v>
      </c>
      <c r="J442" s="3">
        <f t="shared" si="13"/>
        <v>631.5</v>
      </c>
      <c r="K442" t="s">
        <v>40</v>
      </c>
      <c r="L442" t="s">
        <v>28</v>
      </c>
      <c r="M442" t="s">
        <v>17</v>
      </c>
    </row>
    <row r="443" spans="1:13">
      <c r="A443" s="2">
        <v>46109</v>
      </c>
      <c r="B443" t="s">
        <v>45</v>
      </c>
      <c r="C443" t="s">
        <v>45</v>
      </c>
      <c r="D443" t="s">
        <v>30</v>
      </c>
      <c r="E443" s="4">
        <v>22</v>
      </c>
      <c r="F443" s="4">
        <v>13</v>
      </c>
      <c r="G443" s="4">
        <v>370</v>
      </c>
      <c r="H443" s="3">
        <v>10</v>
      </c>
      <c r="I443" s="3">
        <f t="shared" si="12"/>
        <v>220</v>
      </c>
      <c r="J443" s="3">
        <f t="shared" si="13"/>
        <v>590</v>
      </c>
      <c r="K443" t="s">
        <v>40</v>
      </c>
      <c r="L443" t="s">
        <v>28</v>
      </c>
      <c r="M443" t="s">
        <v>17</v>
      </c>
    </row>
    <row r="444" spans="1:13">
      <c r="A444" s="2">
        <v>46109</v>
      </c>
      <c r="B444" t="s">
        <v>45</v>
      </c>
      <c r="C444" t="s">
        <v>45</v>
      </c>
      <c r="D444" t="s">
        <v>31</v>
      </c>
      <c r="E444" s="4">
        <v>19</v>
      </c>
      <c r="F444" s="4">
        <v>11</v>
      </c>
      <c r="G444" s="4">
        <v>340</v>
      </c>
      <c r="H444" s="3">
        <v>9</v>
      </c>
      <c r="I444" s="3">
        <f t="shared" si="12"/>
        <v>171</v>
      </c>
      <c r="J444" s="3">
        <f t="shared" si="13"/>
        <v>511</v>
      </c>
      <c r="K444" t="s">
        <v>26</v>
      </c>
      <c r="L444" t="s">
        <v>16</v>
      </c>
      <c r="M444" t="s">
        <v>17</v>
      </c>
    </row>
    <row r="445" spans="1:13">
      <c r="A445" s="2">
        <v>46109</v>
      </c>
      <c r="B445" t="s">
        <v>45</v>
      </c>
      <c r="C445" t="s">
        <v>45</v>
      </c>
      <c r="D445" t="s">
        <v>32</v>
      </c>
      <c r="E445" s="4">
        <v>17</v>
      </c>
      <c r="F445" s="4">
        <v>10</v>
      </c>
      <c r="G445" s="4">
        <v>300</v>
      </c>
      <c r="H445" s="3">
        <v>9</v>
      </c>
      <c r="I445" s="3">
        <f t="shared" si="12"/>
        <v>153</v>
      </c>
      <c r="J445" s="3">
        <f t="shared" si="13"/>
        <v>453</v>
      </c>
      <c r="K445" t="s">
        <v>26</v>
      </c>
      <c r="L445" t="s">
        <v>16</v>
      </c>
      <c r="M445" t="s">
        <v>20</v>
      </c>
    </row>
    <row r="446" spans="1:13">
      <c r="A446" s="2">
        <v>46109</v>
      </c>
      <c r="B446" t="s">
        <v>45</v>
      </c>
      <c r="C446" t="s">
        <v>45</v>
      </c>
      <c r="D446" t="s">
        <v>33</v>
      </c>
      <c r="E446" s="4">
        <v>15</v>
      </c>
      <c r="F446" s="4">
        <v>8</v>
      </c>
      <c r="G446" s="4">
        <v>270</v>
      </c>
      <c r="H446" s="3">
        <v>8.5</v>
      </c>
      <c r="I446" s="3">
        <f t="shared" si="12"/>
        <v>127.5</v>
      </c>
      <c r="J446" s="3">
        <f t="shared" si="13"/>
        <v>397.5</v>
      </c>
      <c r="K446" t="s">
        <v>26</v>
      </c>
      <c r="L446" t="s">
        <v>16</v>
      </c>
      <c r="M446" t="s">
        <v>20</v>
      </c>
    </row>
    <row r="447" spans="1:13">
      <c r="A447" s="2">
        <v>46109</v>
      </c>
      <c r="B447" t="s">
        <v>45</v>
      </c>
      <c r="C447" t="s">
        <v>45</v>
      </c>
      <c r="D447" t="s">
        <v>34</v>
      </c>
      <c r="E447" s="4">
        <v>13</v>
      </c>
      <c r="F447" s="4">
        <v>6</v>
      </c>
      <c r="G447" s="4">
        <v>230</v>
      </c>
      <c r="H447" s="3">
        <v>8</v>
      </c>
      <c r="I447" s="3">
        <f t="shared" si="12"/>
        <v>104</v>
      </c>
      <c r="J447" s="3">
        <f t="shared" si="13"/>
        <v>334</v>
      </c>
      <c r="K447" t="s">
        <v>15</v>
      </c>
      <c r="L447" t="s">
        <v>16</v>
      </c>
      <c r="M447" t="s">
        <v>35</v>
      </c>
    </row>
    <row r="448" spans="1:13">
      <c r="A448" s="2">
        <v>46109</v>
      </c>
      <c r="B448" t="s">
        <v>45</v>
      </c>
      <c r="C448" t="s">
        <v>45</v>
      </c>
      <c r="D448" t="s">
        <v>36</v>
      </c>
      <c r="E448" s="4">
        <v>10</v>
      </c>
      <c r="F448" s="4">
        <v>4</v>
      </c>
      <c r="G448" s="4">
        <v>190</v>
      </c>
      <c r="H448" s="3">
        <v>7.5</v>
      </c>
      <c r="I448" s="3">
        <f t="shared" si="12"/>
        <v>75</v>
      </c>
      <c r="J448" s="3">
        <f t="shared" si="13"/>
        <v>265</v>
      </c>
      <c r="K448" t="s">
        <v>15</v>
      </c>
      <c r="L448" t="s">
        <v>16</v>
      </c>
      <c r="M448" t="s">
        <v>35</v>
      </c>
    </row>
    <row r="449" spans="1:13">
      <c r="A449" s="2">
        <v>46109</v>
      </c>
      <c r="B449" t="s">
        <v>45</v>
      </c>
      <c r="C449" t="s">
        <v>45</v>
      </c>
      <c r="D449" t="s">
        <v>37</v>
      </c>
      <c r="E449" s="4">
        <v>7</v>
      </c>
      <c r="F449" s="4">
        <v>2</v>
      </c>
      <c r="G449" s="4">
        <v>140</v>
      </c>
      <c r="H449" s="3">
        <v>7</v>
      </c>
      <c r="I449" s="3">
        <f t="shared" si="12"/>
        <v>49</v>
      </c>
      <c r="J449" s="3">
        <f t="shared" si="13"/>
        <v>189</v>
      </c>
      <c r="K449" t="s">
        <v>15</v>
      </c>
      <c r="L449" t="s">
        <v>16</v>
      </c>
      <c r="M449" t="s">
        <v>35</v>
      </c>
    </row>
    <row r="450" spans="1:13">
      <c r="A450" s="2">
        <v>46110</v>
      </c>
      <c r="B450" t="s">
        <v>13</v>
      </c>
      <c r="C450" t="s">
        <v>13</v>
      </c>
      <c r="D450" t="s">
        <v>14</v>
      </c>
      <c r="E450" s="4">
        <v>3</v>
      </c>
      <c r="F450" s="4">
        <v>0</v>
      </c>
      <c r="G450" s="4">
        <v>80</v>
      </c>
      <c r="H450" s="3">
        <v>6</v>
      </c>
      <c r="I450" s="3">
        <f t="shared" ref="I450:I513" si="14">E450*H450</f>
        <v>18</v>
      </c>
      <c r="J450" s="3">
        <f t="shared" ref="J450:J513" si="15">G450+I450</f>
        <v>98</v>
      </c>
      <c r="K450" t="s">
        <v>15</v>
      </c>
      <c r="L450" t="s">
        <v>16</v>
      </c>
      <c r="M450" t="s">
        <v>17</v>
      </c>
    </row>
    <row r="451" spans="1:13">
      <c r="A451" s="2">
        <v>46110</v>
      </c>
      <c r="B451" t="s">
        <v>13</v>
      </c>
      <c r="C451" t="s">
        <v>13</v>
      </c>
      <c r="D451" t="s">
        <v>18</v>
      </c>
      <c r="E451" s="4">
        <v>4</v>
      </c>
      <c r="F451" s="4">
        <v>1</v>
      </c>
      <c r="G451" s="4">
        <v>90</v>
      </c>
      <c r="H451" s="3">
        <v>6.5</v>
      </c>
      <c r="I451" s="3">
        <f t="shared" si="14"/>
        <v>26</v>
      </c>
      <c r="J451" s="3">
        <f t="shared" si="15"/>
        <v>116</v>
      </c>
      <c r="K451" t="s">
        <v>15</v>
      </c>
      <c r="L451" t="s">
        <v>16</v>
      </c>
      <c r="M451" t="s">
        <v>17</v>
      </c>
    </row>
    <row r="452" spans="1:13">
      <c r="A452" s="2">
        <v>46110</v>
      </c>
      <c r="B452" t="s">
        <v>13</v>
      </c>
      <c r="C452" t="s">
        <v>13</v>
      </c>
      <c r="D452" t="s">
        <v>19</v>
      </c>
      <c r="E452" s="4">
        <v>5</v>
      </c>
      <c r="F452" s="4">
        <v>1</v>
      </c>
      <c r="G452" s="4">
        <v>100</v>
      </c>
      <c r="H452" s="3">
        <v>7</v>
      </c>
      <c r="I452" s="3">
        <f t="shared" si="14"/>
        <v>35</v>
      </c>
      <c r="J452" s="3">
        <f t="shared" si="15"/>
        <v>135</v>
      </c>
      <c r="K452" t="s">
        <v>15</v>
      </c>
      <c r="L452" t="s">
        <v>16</v>
      </c>
      <c r="M452" t="s">
        <v>20</v>
      </c>
    </row>
    <row r="453" spans="1:13">
      <c r="A453" s="2">
        <v>46110</v>
      </c>
      <c r="B453" t="s">
        <v>13</v>
      </c>
      <c r="C453" t="s">
        <v>13</v>
      </c>
      <c r="D453" t="s">
        <v>21</v>
      </c>
      <c r="E453" s="4">
        <v>5</v>
      </c>
      <c r="F453" s="4">
        <v>2</v>
      </c>
      <c r="G453" s="4">
        <v>105</v>
      </c>
      <c r="H453" s="3">
        <v>7</v>
      </c>
      <c r="I453" s="3">
        <f t="shared" si="14"/>
        <v>35</v>
      </c>
      <c r="J453" s="3">
        <f t="shared" si="15"/>
        <v>140</v>
      </c>
      <c r="K453" t="s">
        <v>15</v>
      </c>
      <c r="L453" t="s">
        <v>16</v>
      </c>
      <c r="M453" t="s">
        <v>20</v>
      </c>
    </row>
    <row r="454" spans="1:13">
      <c r="A454" s="2">
        <v>46110</v>
      </c>
      <c r="B454" t="s">
        <v>13</v>
      </c>
      <c r="C454" t="s">
        <v>13</v>
      </c>
      <c r="D454" t="s">
        <v>22</v>
      </c>
      <c r="E454" s="4">
        <v>6</v>
      </c>
      <c r="F454" s="4">
        <v>2</v>
      </c>
      <c r="G454" s="4">
        <v>115</v>
      </c>
      <c r="H454" s="3">
        <v>7</v>
      </c>
      <c r="I454" s="3">
        <f t="shared" si="14"/>
        <v>42</v>
      </c>
      <c r="J454" s="3">
        <f t="shared" si="15"/>
        <v>157</v>
      </c>
      <c r="K454" t="s">
        <v>15</v>
      </c>
      <c r="L454" t="s">
        <v>16</v>
      </c>
      <c r="M454" t="s">
        <v>20</v>
      </c>
    </row>
    <row r="455" spans="1:13">
      <c r="A455" s="2">
        <v>46110</v>
      </c>
      <c r="B455" t="s">
        <v>13</v>
      </c>
      <c r="C455" t="s">
        <v>13</v>
      </c>
      <c r="D455" t="s">
        <v>23</v>
      </c>
      <c r="E455" s="4">
        <v>7</v>
      </c>
      <c r="F455" s="4">
        <v>4</v>
      </c>
      <c r="G455" s="4">
        <v>130</v>
      </c>
      <c r="H455" s="3">
        <v>8</v>
      </c>
      <c r="I455" s="3">
        <f t="shared" si="14"/>
        <v>56</v>
      </c>
      <c r="J455" s="3">
        <f t="shared" si="15"/>
        <v>186</v>
      </c>
      <c r="K455" t="s">
        <v>15</v>
      </c>
      <c r="L455" t="s">
        <v>16</v>
      </c>
      <c r="M455" t="s">
        <v>24</v>
      </c>
    </row>
    <row r="456" spans="1:13">
      <c r="A456" s="2">
        <v>46110</v>
      </c>
      <c r="B456" t="s">
        <v>13</v>
      </c>
      <c r="C456" t="s">
        <v>13</v>
      </c>
      <c r="D456" t="s">
        <v>25</v>
      </c>
      <c r="E456" s="4">
        <v>9</v>
      </c>
      <c r="F456" s="4">
        <v>6</v>
      </c>
      <c r="G456" s="4">
        <v>160</v>
      </c>
      <c r="H456" s="3">
        <v>9</v>
      </c>
      <c r="I456" s="3">
        <f t="shared" si="14"/>
        <v>81</v>
      </c>
      <c r="J456" s="3">
        <f t="shared" si="15"/>
        <v>241</v>
      </c>
      <c r="K456" t="s">
        <v>26</v>
      </c>
      <c r="L456" t="s">
        <v>16</v>
      </c>
      <c r="M456" t="s">
        <v>24</v>
      </c>
    </row>
    <row r="457" spans="1:13">
      <c r="A457" s="2">
        <v>46110</v>
      </c>
      <c r="B457" t="s">
        <v>13</v>
      </c>
      <c r="C457" t="s">
        <v>13</v>
      </c>
      <c r="D457" t="s">
        <v>27</v>
      </c>
      <c r="E457" s="4">
        <v>10</v>
      </c>
      <c r="F457" s="4">
        <v>7</v>
      </c>
      <c r="G457" s="4">
        <v>180</v>
      </c>
      <c r="H457" s="3">
        <v>9.5</v>
      </c>
      <c r="I457" s="3">
        <f t="shared" si="14"/>
        <v>95</v>
      </c>
      <c r="J457" s="3">
        <f t="shared" si="15"/>
        <v>275</v>
      </c>
      <c r="K457" t="s">
        <v>26</v>
      </c>
      <c r="L457" t="s">
        <v>28</v>
      </c>
      <c r="M457" t="s">
        <v>24</v>
      </c>
    </row>
    <row r="458" spans="1:13">
      <c r="A458" s="2">
        <v>46110</v>
      </c>
      <c r="B458" t="s">
        <v>13</v>
      </c>
      <c r="C458" t="s">
        <v>13</v>
      </c>
      <c r="D458" t="s">
        <v>29</v>
      </c>
      <c r="E458" s="4">
        <v>9</v>
      </c>
      <c r="F458" s="4">
        <v>6</v>
      </c>
      <c r="G458" s="4">
        <v>170</v>
      </c>
      <c r="H458" s="3">
        <v>9</v>
      </c>
      <c r="I458" s="3">
        <f t="shared" si="14"/>
        <v>81</v>
      </c>
      <c r="J458" s="3">
        <f t="shared" si="15"/>
        <v>251</v>
      </c>
      <c r="K458" t="s">
        <v>26</v>
      </c>
      <c r="L458" t="s">
        <v>16</v>
      </c>
      <c r="M458" t="s">
        <v>17</v>
      </c>
    </row>
    <row r="459" spans="1:13">
      <c r="A459" s="2">
        <v>46110</v>
      </c>
      <c r="B459" t="s">
        <v>13</v>
      </c>
      <c r="C459" t="s">
        <v>13</v>
      </c>
      <c r="D459" t="s">
        <v>30</v>
      </c>
      <c r="E459" s="4">
        <v>8</v>
      </c>
      <c r="F459" s="4">
        <v>5</v>
      </c>
      <c r="G459" s="4">
        <v>150</v>
      </c>
      <c r="H459" s="3">
        <v>8.5</v>
      </c>
      <c r="I459" s="3">
        <f t="shared" si="14"/>
        <v>68</v>
      </c>
      <c r="J459" s="3">
        <f t="shared" si="15"/>
        <v>218</v>
      </c>
      <c r="K459" t="s">
        <v>15</v>
      </c>
      <c r="L459" t="s">
        <v>16</v>
      </c>
      <c r="M459" t="s">
        <v>17</v>
      </c>
    </row>
    <row r="460" spans="1:13">
      <c r="A460" s="2">
        <v>46110</v>
      </c>
      <c r="B460" t="s">
        <v>13</v>
      </c>
      <c r="C460" t="s">
        <v>13</v>
      </c>
      <c r="D460" t="s">
        <v>31</v>
      </c>
      <c r="E460" s="4">
        <v>7</v>
      </c>
      <c r="F460" s="4">
        <v>4</v>
      </c>
      <c r="G460" s="4">
        <v>135</v>
      </c>
      <c r="H460" s="3">
        <v>8</v>
      </c>
      <c r="I460" s="3">
        <f t="shared" si="14"/>
        <v>56</v>
      </c>
      <c r="J460" s="3">
        <f t="shared" si="15"/>
        <v>191</v>
      </c>
      <c r="K460" t="s">
        <v>15</v>
      </c>
      <c r="L460" t="s">
        <v>16</v>
      </c>
      <c r="M460" t="s">
        <v>17</v>
      </c>
    </row>
    <row r="461" spans="1:13">
      <c r="A461" s="2">
        <v>46110</v>
      </c>
      <c r="B461" t="s">
        <v>13</v>
      </c>
      <c r="C461" t="s">
        <v>13</v>
      </c>
      <c r="D461" t="s">
        <v>32</v>
      </c>
      <c r="E461" s="4">
        <v>6</v>
      </c>
      <c r="F461" s="4">
        <v>3</v>
      </c>
      <c r="G461" s="4">
        <v>120</v>
      </c>
      <c r="H461" s="3">
        <v>8</v>
      </c>
      <c r="I461" s="3">
        <f t="shared" si="14"/>
        <v>48</v>
      </c>
      <c r="J461" s="3">
        <f t="shared" si="15"/>
        <v>168</v>
      </c>
      <c r="K461" t="s">
        <v>15</v>
      </c>
      <c r="L461" t="s">
        <v>16</v>
      </c>
      <c r="M461" t="s">
        <v>20</v>
      </c>
    </row>
    <row r="462" spans="1:13">
      <c r="A462" s="2">
        <v>46110</v>
      </c>
      <c r="B462" t="s">
        <v>13</v>
      </c>
      <c r="C462" t="s">
        <v>13</v>
      </c>
      <c r="D462" t="s">
        <v>33</v>
      </c>
      <c r="E462" s="4">
        <v>6</v>
      </c>
      <c r="F462" s="4">
        <v>3</v>
      </c>
      <c r="G462" s="4">
        <v>115</v>
      </c>
      <c r="H462" s="3">
        <v>8</v>
      </c>
      <c r="I462" s="3">
        <f t="shared" si="14"/>
        <v>48</v>
      </c>
      <c r="J462" s="3">
        <f t="shared" si="15"/>
        <v>163</v>
      </c>
      <c r="K462" t="s">
        <v>15</v>
      </c>
      <c r="L462" t="s">
        <v>16</v>
      </c>
      <c r="M462" t="s">
        <v>20</v>
      </c>
    </row>
    <row r="463" spans="1:13">
      <c r="A463" s="2">
        <v>46110</v>
      </c>
      <c r="B463" t="s">
        <v>13</v>
      </c>
      <c r="C463" t="s">
        <v>13</v>
      </c>
      <c r="D463" t="s">
        <v>34</v>
      </c>
      <c r="E463" s="4">
        <v>5</v>
      </c>
      <c r="F463" s="4">
        <v>2</v>
      </c>
      <c r="G463" s="4">
        <v>100</v>
      </c>
      <c r="H463" s="3">
        <v>7.5</v>
      </c>
      <c r="I463" s="3">
        <f t="shared" si="14"/>
        <v>37.5</v>
      </c>
      <c r="J463" s="3">
        <f t="shared" si="15"/>
        <v>137.5</v>
      </c>
      <c r="K463" t="s">
        <v>15</v>
      </c>
      <c r="L463" t="s">
        <v>16</v>
      </c>
      <c r="M463" t="s">
        <v>35</v>
      </c>
    </row>
    <row r="464" spans="1:13">
      <c r="A464" s="2">
        <v>46110</v>
      </c>
      <c r="B464" t="s">
        <v>13</v>
      </c>
      <c r="C464" t="s">
        <v>13</v>
      </c>
      <c r="D464" t="s">
        <v>36</v>
      </c>
      <c r="E464" s="4">
        <v>4</v>
      </c>
      <c r="F464" s="4">
        <v>1</v>
      </c>
      <c r="G464" s="4">
        <v>85</v>
      </c>
      <c r="H464" s="3">
        <v>7</v>
      </c>
      <c r="I464" s="3">
        <f t="shared" si="14"/>
        <v>28</v>
      </c>
      <c r="J464" s="3">
        <f t="shared" si="15"/>
        <v>113</v>
      </c>
      <c r="K464" t="s">
        <v>15</v>
      </c>
      <c r="L464" t="s">
        <v>16</v>
      </c>
      <c r="M464" t="s">
        <v>35</v>
      </c>
    </row>
    <row r="465" spans="1:13">
      <c r="A465" s="2">
        <v>46110</v>
      </c>
      <c r="B465" t="s">
        <v>13</v>
      </c>
      <c r="C465" t="s">
        <v>13</v>
      </c>
      <c r="D465" t="s">
        <v>37</v>
      </c>
      <c r="E465" s="4">
        <v>3</v>
      </c>
      <c r="F465" s="4">
        <v>1</v>
      </c>
      <c r="G465" s="4">
        <v>70</v>
      </c>
      <c r="H465" s="3">
        <v>7</v>
      </c>
      <c r="I465" s="3">
        <f t="shared" si="14"/>
        <v>21</v>
      </c>
      <c r="J465" s="3">
        <f t="shared" si="15"/>
        <v>91</v>
      </c>
      <c r="K465" t="s">
        <v>15</v>
      </c>
      <c r="L465" t="s">
        <v>16</v>
      </c>
      <c r="M465" t="s">
        <v>35</v>
      </c>
    </row>
    <row r="466" spans="1:13">
      <c r="A466" s="2">
        <v>46111</v>
      </c>
      <c r="B466" t="s">
        <v>38</v>
      </c>
      <c r="C466" t="s">
        <v>39</v>
      </c>
      <c r="D466" t="s">
        <v>14</v>
      </c>
      <c r="E466" s="4">
        <v>8</v>
      </c>
      <c r="F466" s="4">
        <v>2</v>
      </c>
      <c r="G466" s="4">
        <v>180</v>
      </c>
      <c r="H466" s="3">
        <v>6</v>
      </c>
      <c r="I466" s="3">
        <f t="shared" si="14"/>
        <v>48</v>
      </c>
      <c r="J466" s="3">
        <f t="shared" si="15"/>
        <v>228</v>
      </c>
      <c r="K466" t="s">
        <v>15</v>
      </c>
      <c r="L466" t="s">
        <v>16</v>
      </c>
      <c r="M466" t="s">
        <v>17</v>
      </c>
    </row>
    <row r="467" spans="1:13">
      <c r="A467" s="2">
        <v>46111</v>
      </c>
      <c r="B467" t="s">
        <v>38</v>
      </c>
      <c r="C467" t="s">
        <v>39</v>
      </c>
      <c r="D467" t="s">
        <v>18</v>
      </c>
      <c r="E467" s="4">
        <v>12</v>
      </c>
      <c r="F467" s="4">
        <v>3</v>
      </c>
      <c r="G467" s="4">
        <v>260</v>
      </c>
      <c r="H467" s="3">
        <v>6.5</v>
      </c>
      <c r="I467" s="3">
        <f t="shared" si="14"/>
        <v>78</v>
      </c>
      <c r="J467" s="3">
        <f t="shared" si="15"/>
        <v>338</v>
      </c>
      <c r="K467" t="s">
        <v>15</v>
      </c>
      <c r="L467" t="s">
        <v>16</v>
      </c>
      <c r="M467" t="s">
        <v>17</v>
      </c>
    </row>
    <row r="468" spans="1:13">
      <c r="A468" s="2">
        <v>46111</v>
      </c>
      <c r="B468" t="s">
        <v>38</v>
      </c>
      <c r="C468" t="s">
        <v>39</v>
      </c>
      <c r="D468" t="s">
        <v>19</v>
      </c>
      <c r="E468" s="4">
        <v>15</v>
      </c>
      <c r="F468" s="4">
        <v>4</v>
      </c>
      <c r="G468" s="4">
        <v>310</v>
      </c>
      <c r="H468" s="3">
        <v>7</v>
      </c>
      <c r="I468" s="3">
        <f t="shared" si="14"/>
        <v>105</v>
      </c>
      <c r="J468" s="3">
        <f t="shared" si="15"/>
        <v>415</v>
      </c>
      <c r="K468" t="s">
        <v>15</v>
      </c>
      <c r="L468" t="s">
        <v>16</v>
      </c>
      <c r="M468" t="s">
        <v>17</v>
      </c>
    </row>
    <row r="469" spans="1:13">
      <c r="A469" s="2">
        <v>46111</v>
      </c>
      <c r="B469" t="s">
        <v>38</v>
      </c>
      <c r="C469" t="s">
        <v>39</v>
      </c>
      <c r="D469" t="s">
        <v>21</v>
      </c>
      <c r="E469" s="4">
        <v>10</v>
      </c>
      <c r="F469" s="4">
        <v>3</v>
      </c>
      <c r="G469" s="4">
        <v>220</v>
      </c>
      <c r="H469" s="3">
        <v>7</v>
      </c>
      <c r="I469" s="3">
        <f t="shared" si="14"/>
        <v>70</v>
      </c>
      <c r="J469" s="3">
        <f t="shared" si="15"/>
        <v>290</v>
      </c>
      <c r="K469" t="s">
        <v>15</v>
      </c>
      <c r="L469" t="s">
        <v>16</v>
      </c>
      <c r="M469" t="s">
        <v>20</v>
      </c>
    </row>
    <row r="470" spans="1:13">
      <c r="A470" s="2">
        <v>46111</v>
      </c>
      <c r="B470" t="s">
        <v>38</v>
      </c>
      <c r="C470" t="s">
        <v>39</v>
      </c>
      <c r="D470" t="s">
        <v>22</v>
      </c>
      <c r="E470" s="4">
        <v>9</v>
      </c>
      <c r="F470" s="4">
        <v>4</v>
      </c>
      <c r="G470" s="4">
        <v>200</v>
      </c>
      <c r="H470" s="3">
        <v>7</v>
      </c>
      <c r="I470" s="3">
        <f t="shared" si="14"/>
        <v>63</v>
      </c>
      <c r="J470" s="3">
        <f t="shared" si="15"/>
        <v>263</v>
      </c>
      <c r="K470" t="s">
        <v>15</v>
      </c>
      <c r="L470" t="s">
        <v>16</v>
      </c>
      <c r="M470" t="s">
        <v>20</v>
      </c>
    </row>
    <row r="471" spans="1:13">
      <c r="A471" s="2">
        <v>46111</v>
      </c>
      <c r="B471" t="s">
        <v>38</v>
      </c>
      <c r="C471" t="s">
        <v>39</v>
      </c>
      <c r="D471" t="s">
        <v>23</v>
      </c>
      <c r="E471" s="4">
        <v>12</v>
      </c>
      <c r="F471" s="4">
        <v>7</v>
      </c>
      <c r="G471" s="4">
        <v>240</v>
      </c>
      <c r="H471" s="3">
        <v>8</v>
      </c>
      <c r="I471" s="3">
        <f t="shared" si="14"/>
        <v>96</v>
      </c>
      <c r="J471" s="3">
        <f t="shared" si="15"/>
        <v>336</v>
      </c>
      <c r="K471" t="s">
        <v>26</v>
      </c>
      <c r="L471" t="s">
        <v>16</v>
      </c>
      <c r="M471" t="s">
        <v>24</v>
      </c>
    </row>
    <row r="472" spans="1:13">
      <c r="A472" s="2">
        <v>46111</v>
      </c>
      <c r="B472" t="s">
        <v>38</v>
      </c>
      <c r="C472" t="s">
        <v>39</v>
      </c>
      <c r="D472" t="s">
        <v>25</v>
      </c>
      <c r="E472" s="4">
        <v>16</v>
      </c>
      <c r="F472" s="4">
        <v>10</v>
      </c>
      <c r="G472" s="4">
        <v>300</v>
      </c>
      <c r="H472" s="3">
        <v>9</v>
      </c>
      <c r="I472" s="3">
        <f t="shared" si="14"/>
        <v>144</v>
      </c>
      <c r="J472" s="3">
        <f t="shared" si="15"/>
        <v>444</v>
      </c>
      <c r="K472" t="s">
        <v>26</v>
      </c>
      <c r="L472" t="s">
        <v>16</v>
      </c>
      <c r="M472" t="s">
        <v>24</v>
      </c>
    </row>
    <row r="473" spans="1:13">
      <c r="A473" s="2">
        <v>46111</v>
      </c>
      <c r="B473" t="s">
        <v>38</v>
      </c>
      <c r="C473" t="s">
        <v>39</v>
      </c>
      <c r="D473" t="s">
        <v>27</v>
      </c>
      <c r="E473" s="4">
        <v>14</v>
      </c>
      <c r="F473" s="4">
        <v>9</v>
      </c>
      <c r="G473" s="4">
        <v>280</v>
      </c>
      <c r="H473" s="3">
        <v>8.5</v>
      </c>
      <c r="I473" s="3">
        <f t="shared" si="14"/>
        <v>119</v>
      </c>
      <c r="J473" s="3">
        <f t="shared" si="15"/>
        <v>399</v>
      </c>
      <c r="K473" t="s">
        <v>26</v>
      </c>
      <c r="L473" t="s">
        <v>16</v>
      </c>
      <c r="M473" t="s">
        <v>24</v>
      </c>
    </row>
    <row r="474" spans="1:13">
      <c r="A474" s="2">
        <v>46111</v>
      </c>
      <c r="B474" t="s">
        <v>38</v>
      </c>
      <c r="C474" t="s">
        <v>39</v>
      </c>
      <c r="D474" t="s">
        <v>29</v>
      </c>
      <c r="E474" s="4">
        <v>11</v>
      </c>
      <c r="F474" s="4">
        <v>7</v>
      </c>
      <c r="G474" s="4">
        <v>230</v>
      </c>
      <c r="H474" s="3">
        <v>7.5</v>
      </c>
      <c r="I474" s="3">
        <f t="shared" si="14"/>
        <v>82.5</v>
      </c>
      <c r="J474" s="3">
        <f t="shared" si="15"/>
        <v>312.5</v>
      </c>
      <c r="K474" t="s">
        <v>15</v>
      </c>
      <c r="L474" t="s">
        <v>16</v>
      </c>
      <c r="M474" t="s">
        <v>20</v>
      </c>
    </row>
    <row r="475" spans="1:13">
      <c r="A475" s="2">
        <v>46111</v>
      </c>
      <c r="B475" t="s">
        <v>38</v>
      </c>
      <c r="C475" t="s">
        <v>39</v>
      </c>
      <c r="D475" t="s">
        <v>30</v>
      </c>
      <c r="E475" s="4">
        <v>13</v>
      </c>
      <c r="F475" s="4">
        <v>8</v>
      </c>
      <c r="G475" s="4">
        <v>250</v>
      </c>
      <c r="H475" s="3">
        <v>8</v>
      </c>
      <c r="I475" s="3">
        <f t="shared" si="14"/>
        <v>104</v>
      </c>
      <c r="J475" s="3">
        <f t="shared" si="15"/>
        <v>354</v>
      </c>
      <c r="K475" t="s">
        <v>26</v>
      </c>
      <c r="L475" t="s">
        <v>16</v>
      </c>
      <c r="M475" t="s">
        <v>17</v>
      </c>
    </row>
    <row r="476" spans="1:13">
      <c r="A476" s="2">
        <v>46111</v>
      </c>
      <c r="B476" t="s">
        <v>38</v>
      </c>
      <c r="C476" t="s">
        <v>39</v>
      </c>
      <c r="D476" t="s">
        <v>31</v>
      </c>
      <c r="E476" s="4">
        <v>18</v>
      </c>
      <c r="F476" s="4">
        <v>11</v>
      </c>
      <c r="G476" s="4">
        <v>340</v>
      </c>
      <c r="H476" s="3">
        <v>9</v>
      </c>
      <c r="I476" s="3">
        <f t="shared" si="14"/>
        <v>162</v>
      </c>
      <c r="J476" s="3">
        <f t="shared" si="15"/>
        <v>502</v>
      </c>
      <c r="K476" t="s">
        <v>26</v>
      </c>
      <c r="L476" t="s">
        <v>16</v>
      </c>
      <c r="M476" t="s">
        <v>17</v>
      </c>
    </row>
    <row r="477" spans="1:13">
      <c r="A477" s="2">
        <v>46111</v>
      </c>
      <c r="B477" t="s">
        <v>38</v>
      </c>
      <c r="C477" t="s">
        <v>39</v>
      </c>
      <c r="D477" t="s">
        <v>32</v>
      </c>
      <c r="E477" s="4">
        <v>24</v>
      </c>
      <c r="F477" s="4">
        <v>14</v>
      </c>
      <c r="G477" s="4">
        <v>420</v>
      </c>
      <c r="H477" s="3">
        <v>10</v>
      </c>
      <c r="I477" s="3">
        <f t="shared" si="14"/>
        <v>240</v>
      </c>
      <c r="J477" s="3">
        <f t="shared" si="15"/>
        <v>660</v>
      </c>
      <c r="K477" t="s">
        <v>40</v>
      </c>
      <c r="L477" t="s">
        <v>28</v>
      </c>
      <c r="M477" t="s">
        <v>24</v>
      </c>
    </row>
    <row r="478" spans="1:13">
      <c r="A478" s="2">
        <v>46111</v>
      </c>
      <c r="B478" t="s">
        <v>38</v>
      </c>
      <c r="C478" t="s">
        <v>39</v>
      </c>
      <c r="D478" t="s">
        <v>33</v>
      </c>
      <c r="E478" s="4">
        <v>20</v>
      </c>
      <c r="F478" s="4">
        <v>12</v>
      </c>
      <c r="G478" s="4">
        <v>360</v>
      </c>
      <c r="H478" s="3">
        <v>9.5</v>
      </c>
      <c r="I478" s="3">
        <f t="shared" si="14"/>
        <v>190</v>
      </c>
      <c r="J478" s="3">
        <f t="shared" si="15"/>
        <v>550</v>
      </c>
      <c r="K478" t="s">
        <v>40</v>
      </c>
      <c r="L478" t="s">
        <v>28</v>
      </c>
      <c r="M478" t="s">
        <v>24</v>
      </c>
    </row>
    <row r="479" spans="1:13">
      <c r="A479" s="2">
        <v>46111</v>
      </c>
      <c r="B479" t="s">
        <v>38</v>
      </c>
      <c r="C479" t="s">
        <v>39</v>
      </c>
      <c r="D479" t="s">
        <v>34</v>
      </c>
      <c r="E479" s="4">
        <v>15</v>
      </c>
      <c r="F479" s="4">
        <v>8</v>
      </c>
      <c r="G479" s="4">
        <v>280</v>
      </c>
      <c r="H479" s="3">
        <v>8.5</v>
      </c>
      <c r="I479" s="3">
        <f t="shared" si="14"/>
        <v>127.5</v>
      </c>
      <c r="J479" s="3">
        <f t="shared" si="15"/>
        <v>407.5</v>
      </c>
      <c r="K479" t="s">
        <v>26</v>
      </c>
      <c r="L479" t="s">
        <v>16</v>
      </c>
      <c r="M479" t="s">
        <v>20</v>
      </c>
    </row>
    <row r="480" spans="1:13">
      <c r="A480" s="2">
        <v>46111</v>
      </c>
      <c r="B480" t="s">
        <v>38</v>
      </c>
      <c r="C480" t="s">
        <v>39</v>
      </c>
      <c r="D480" t="s">
        <v>36</v>
      </c>
      <c r="E480" s="4">
        <v>11</v>
      </c>
      <c r="F480" s="4">
        <v>5</v>
      </c>
      <c r="G480" s="4">
        <v>210</v>
      </c>
      <c r="H480" s="3">
        <v>7.5</v>
      </c>
      <c r="I480" s="3">
        <f t="shared" si="14"/>
        <v>82.5</v>
      </c>
      <c r="J480" s="3">
        <f t="shared" si="15"/>
        <v>292.5</v>
      </c>
      <c r="K480" t="s">
        <v>15</v>
      </c>
      <c r="L480" t="s">
        <v>16</v>
      </c>
      <c r="M480" t="s">
        <v>35</v>
      </c>
    </row>
    <row r="481" spans="1:13">
      <c r="A481" s="2">
        <v>46111</v>
      </c>
      <c r="B481" t="s">
        <v>38</v>
      </c>
      <c r="C481" t="s">
        <v>39</v>
      </c>
      <c r="D481" t="s">
        <v>37</v>
      </c>
      <c r="E481" s="4">
        <v>7</v>
      </c>
      <c r="F481" s="4">
        <v>3</v>
      </c>
      <c r="G481" s="4">
        <v>150</v>
      </c>
      <c r="H481" s="3">
        <v>7</v>
      </c>
      <c r="I481" s="3">
        <f t="shared" si="14"/>
        <v>49</v>
      </c>
      <c r="J481" s="3">
        <f t="shared" si="15"/>
        <v>199</v>
      </c>
      <c r="K481" t="s">
        <v>15</v>
      </c>
      <c r="L481" t="s">
        <v>16</v>
      </c>
      <c r="M481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/>
  </sheetViews>
  <sheetFormatPr defaultRowHeight="14.25"/>
  <cols>
    <col min="1" max="2" width="20" customWidth="1"/>
    <col min="4" max="5" width="16" customWidth="1"/>
    <col min="7" max="8" width="14" customWidth="1"/>
  </cols>
  <sheetData>
    <row r="1" spans="1:8" ht="18">
      <c r="A1" s="8" t="s">
        <v>46</v>
      </c>
      <c r="B1" s="9"/>
      <c r="C1" s="9"/>
      <c r="D1" s="9"/>
      <c r="E1" s="9"/>
      <c r="F1" s="9"/>
      <c r="G1" s="9"/>
      <c r="H1" s="9"/>
    </row>
    <row r="3" spans="1:8" ht="15">
      <c r="A3" s="5" t="s">
        <v>47</v>
      </c>
      <c r="B3" s="5" t="s">
        <v>48</v>
      </c>
      <c r="D3" s="5" t="s">
        <v>2</v>
      </c>
      <c r="E3" s="5" t="s">
        <v>9</v>
      </c>
      <c r="G3" s="5" t="s">
        <v>3</v>
      </c>
      <c r="H3" s="5" t="s">
        <v>9</v>
      </c>
    </row>
    <row r="4" spans="1:8">
      <c r="A4" t="s">
        <v>9</v>
      </c>
      <c r="B4" s="3">
        <f>SUM(Data!J:J)</f>
        <v>162609</v>
      </c>
      <c r="D4" t="s">
        <v>39</v>
      </c>
      <c r="E4" s="3">
        <f>SUMIF(Data!C:C,D4,Data!J:J)</f>
        <v>125800.5</v>
      </c>
      <c r="G4" t="s">
        <v>14</v>
      </c>
      <c r="H4" s="3">
        <f>SUMIF(Data!D:D,G4,Data!J:J)</f>
        <v>5878</v>
      </c>
    </row>
    <row r="5" spans="1:8">
      <c r="A5" t="s">
        <v>49</v>
      </c>
      <c r="B5" s="4">
        <f>SUM(Data!E:E)</f>
        <v>5856</v>
      </c>
      <c r="D5" t="s">
        <v>45</v>
      </c>
      <c r="E5" s="3">
        <f>SUMIF(Data!C:C,D5,Data!J:J)</f>
        <v>23406</v>
      </c>
      <c r="G5" t="s">
        <v>18</v>
      </c>
      <c r="H5" s="3">
        <f>SUMIF(Data!D:D,G5,Data!J:J)</f>
        <v>8394</v>
      </c>
    </row>
    <row r="6" spans="1:8">
      <c r="A6" t="s">
        <v>50</v>
      </c>
      <c r="B6" s="4">
        <f>SUM(Data!F:F)</f>
        <v>3014</v>
      </c>
      <c r="D6" t="s">
        <v>13</v>
      </c>
      <c r="E6" s="3">
        <f>SUMIF(Data!C:C,D6,Data!J:J)</f>
        <v>13402.5</v>
      </c>
      <c r="G6" t="s">
        <v>19</v>
      </c>
      <c r="H6" s="3">
        <f>SUMIF(Data!D:D,G6,Data!J:J)</f>
        <v>10226</v>
      </c>
    </row>
    <row r="7" spans="1:8">
      <c r="A7" t="s">
        <v>51</v>
      </c>
      <c r="B7" s="3">
        <f>AVERAGE(Data!H:H)</f>
        <v>7.8895833333333334</v>
      </c>
      <c r="G7" t="s">
        <v>21</v>
      </c>
      <c r="H7" s="3">
        <f>SUMIF(Data!D:D,G7,Data!J:J)</f>
        <v>7734</v>
      </c>
    </row>
    <row r="8" spans="1:8">
      <c r="A8" t="s">
        <v>52</v>
      </c>
      <c r="B8" s="4">
        <f>COUNTIF(Data!L:L,"Yes")</f>
        <v>63</v>
      </c>
      <c r="G8" t="s">
        <v>22</v>
      </c>
      <c r="H8" s="3">
        <f>SUMIF(Data!D:D,G8,Data!J:J)</f>
        <v>7448</v>
      </c>
    </row>
    <row r="9" spans="1:8">
      <c r="A9" t="s">
        <v>53</v>
      </c>
      <c r="B9" s="4">
        <f>COUNTIF(Data!K:K,"High")</f>
        <v>54</v>
      </c>
      <c r="G9" t="s">
        <v>23</v>
      </c>
      <c r="H9" s="3">
        <f>SUMIF(Data!D:D,G9,Data!J:J)</f>
        <v>9428</v>
      </c>
    </row>
    <row r="10" spans="1:8">
      <c r="G10" t="s">
        <v>25</v>
      </c>
      <c r="H10" s="3">
        <f>SUMIF(Data!D:D,G10,Data!J:J)</f>
        <v>12493</v>
      </c>
    </row>
    <row r="11" spans="1:8">
      <c r="G11" t="s">
        <v>27</v>
      </c>
      <c r="H11" s="3">
        <f>SUMIF(Data!D:D,G11,Data!J:J)</f>
        <v>12034</v>
      </c>
    </row>
    <row r="12" spans="1:8">
      <c r="G12" t="s">
        <v>29</v>
      </c>
      <c r="H12" s="3">
        <f>SUMIF(Data!D:D,G12,Data!J:J)</f>
        <v>10343.5</v>
      </c>
    </row>
    <row r="13" spans="1:8">
      <c r="G13" t="s">
        <v>30</v>
      </c>
      <c r="H13" s="3">
        <f>SUMIF(Data!D:D,G13,Data!J:J)</f>
        <v>10884</v>
      </c>
    </row>
    <row r="14" spans="1:8">
      <c r="G14" t="s">
        <v>31</v>
      </c>
      <c r="H14" s="3">
        <f>SUMIF(Data!D:D,G14,Data!J:J)</f>
        <v>13541</v>
      </c>
    </row>
    <row r="15" spans="1:8">
      <c r="G15" t="s">
        <v>32</v>
      </c>
      <c r="H15" s="3">
        <f>SUMIF(Data!D:D,G15,Data!J:J)</f>
        <v>16512</v>
      </c>
    </row>
    <row r="16" spans="1:8">
      <c r="G16" t="s">
        <v>33</v>
      </c>
      <c r="H16" s="3">
        <f>SUMIF(Data!D:D,G16,Data!J:J)</f>
        <v>13955</v>
      </c>
    </row>
    <row r="17" spans="7:8">
      <c r="G17" t="s">
        <v>34</v>
      </c>
      <c r="H17" s="3">
        <f>SUMIF(Data!D:D,G17,Data!J:J)</f>
        <v>10581</v>
      </c>
    </row>
    <row r="18" spans="7:8">
      <c r="G18" t="s">
        <v>36</v>
      </c>
      <c r="H18" s="3">
        <f>SUMIF(Data!D:D,G18,Data!J:J)</f>
        <v>7767.5</v>
      </c>
    </row>
    <row r="19" spans="7:8">
      <c r="G19" t="s">
        <v>37</v>
      </c>
      <c r="H19" s="3">
        <f>SUMIF(Data!D:D,G19,Data!J:J)</f>
        <v>5390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25"/>
  <cols>
    <col min="1" max="1" width="18" customWidth="1"/>
    <col min="2" max="2" width="70" customWidth="1"/>
  </cols>
  <sheetData>
    <row r="1" spans="1:2" ht="30">
      <c r="A1" s="6" t="s">
        <v>54</v>
      </c>
      <c r="B1" s="6" t="s">
        <v>55</v>
      </c>
    </row>
    <row r="2" spans="1:2" ht="28.5">
      <c r="A2" s="7" t="s">
        <v>56</v>
      </c>
      <c r="B2" s="7" t="s">
        <v>57</v>
      </c>
    </row>
    <row r="3" spans="1:2" ht="28.5">
      <c r="A3" s="7" t="s">
        <v>58</v>
      </c>
      <c r="B3" s="7" t="s">
        <v>59</v>
      </c>
    </row>
    <row r="4" spans="1:2" ht="28.5">
      <c r="A4" s="7" t="s">
        <v>60</v>
      </c>
      <c r="B4" s="7" t="s">
        <v>61</v>
      </c>
    </row>
    <row r="5" spans="1:2" ht="28.5">
      <c r="A5" s="7" t="s">
        <v>62</v>
      </c>
      <c r="B5" s="7" t="s">
        <v>63</v>
      </c>
    </row>
    <row r="6" spans="1:2" ht="28.5">
      <c r="A6" s="7" t="s">
        <v>64</v>
      </c>
      <c r="B6" s="7" t="s">
        <v>65</v>
      </c>
    </row>
    <row r="7" spans="1:2" ht="28.5">
      <c r="A7" s="7" t="s">
        <v>66</v>
      </c>
      <c r="B7" s="7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 Ammar</cp:lastModifiedBy>
  <dcterms:modified xsi:type="dcterms:W3CDTF">2026-03-29T22:58:22Z</dcterms:modified>
</cp:coreProperties>
</file>